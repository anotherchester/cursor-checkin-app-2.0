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R:\Ballot Drop Boxes\Management\"/>
    </mc:Choice>
  </mc:AlternateContent>
  <xr:revisionPtr revIDLastSave="0" documentId="13_ncr:1_{6C472D6D-9A02-4E11-9710-24177B723BF3}" xr6:coauthVersionLast="47" xr6:coauthVersionMax="47" xr10:uidLastSave="{00000000-0000-0000-0000-000000000000}"/>
  <bookViews>
    <workbookView xWindow="-19310" yWindow="-1360" windowWidth="19420" windowHeight="10300" xr2:uid="{00000000-000D-0000-FFFF-FFFF00000000}"/>
  </bookViews>
  <sheets>
    <sheet name="Drop Boxes" sheetId="1" r:id="rId1"/>
    <sheet name="Inactive and Non-Dropbox" sheetId="2" r:id="rId2"/>
    <sheet name="County by KCCD" sheetId="4" r:id="rId3"/>
    <sheet name="Sheet1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86" i="1" l="1"/>
  <c r="T82" i="1"/>
  <c r="T40" i="1"/>
  <c r="T8" i="1"/>
  <c r="T49" i="1"/>
  <c r="T46" i="1"/>
  <c r="T62" i="1"/>
  <c r="R24" i="2"/>
  <c r="R23" i="2"/>
  <c r="R18" i="2"/>
  <c r="T85" i="1"/>
  <c r="T84" i="1"/>
  <c r="T77" i="1"/>
  <c r="T76" i="1"/>
  <c r="T83" i="1"/>
  <c r="T48" i="1"/>
  <c r="T75" i="1"/>
  <c r="T74" i="1"/>
  <c r="T11" i="1"/>
  <c r="T81" i="1"/>
  <c r="T32" i="1"/>
  <c r="T73" i="1"/>
  <c r="T72" i="1"/>
  <c r="T71" i="1"/>
  <c r="T80" i="1"/>
  <c r="T70" i="1"/>
  <c r="T79" i="1"/>
  <c r="T78" i="1"/>
  <c r="T69" i="1"/>
  <c r="T68" i="1"/>
  <c r="T45" i="1"/>
  <c r="T22" i="1"/>
  <c r="T67" i="1"/>
  <c r="T44" i="1"/>
  <c r="T27" i="1"/>
  <c r="T39" i="1"/>
  <c r="T38" i="1"/>
  <c r="T66" i="1"/>
  <c r="T65" i="1"/>
  <c r="T43" i="1"/>
  <c r="T64" i="1"/>
  <c r="T36" i="1"/>
  <c r="T35" i="1"/>
  <c r="T7" i="1"/>
  <c r="T63" i="1"/>
  <c r="T34" i="1"/>
  <c r="T4" i="1"/>
  <c r="T61" i="1"/>
  <c r="T33" i="1"/>
  <c r="T60" i="1"/>
  <c r="T59" i="1"/>
  <c r="T30" i="1"/>
  <c r="T58" i="1"/>
  <c r="T29" i="1"/>
  <c r="T28" i="1"/>
  <c r="T57" i="1"/>
  <c r="T42" i="1"/>
  <c r="T26" i="1"/>
  <c r="T25" i="1"/>
  <c r="T24" i="1"/>
  <c r="T23" i="1"/>
  <c r="T31" i="1"/>
  <c r="T16" i="1"/>
  <c r="T56" i="1"/>
  <c r="T55" i="1"/>
  <c r="T54" i="1"/>
  <c r="T21" i="1"/>
  <c r="T20" i="1"/>
  <c r="T19" i="1"/>
  <c r="T41" i="1"/>
  <c r="T18" i="1"/>
  <c r="T17" i="1"/>
  <c r="T6" i="1"/>
  <c r="T15" i="1"/>
  <c r="T14" i="1"/>
  <c r="T13" i="1"/>
  <c r="T53" i="1"/>
  <c r="T12" i="1"/>
  <c r="T10" i="1"/>
  <c r="T9" i="1"/>
  <c r="T5" i="1"/>
  <c r="T52" i="1"/>
  <c r="T51" i="1"/>
  <c r="T3" i="1"/>
  <c r="T2" i="1"/>
  <c r="T47" i="1"/>
  <c r="T37" i="1"/>
  <c r="T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Barron, Steve</author>
  </authors>
  <commentList>
    <comment ref="A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Barron, Steve:</t>
        </r>
        <r>
          <rPr>
            <sz val="9"/>
            <color indexed="81"/>
            <rFont val="Tahoma"/>
            <family val="2"/>
          </rPr>
          <t xml:space="preserve">
Use for Union Station</t>
        </r>
      </text>
    </comment>
  </commentList>
</comments>
</file>

<file path=xl/sharedStrings.xml><?xml version="1.0" encoding="utf-8"?>
<sst xmlns="http://schemas.openxmlformats.org/spreadsheetml/2006/main" count="855" uniqueCount="452">
  <si>
    <t>Name</t>
  </si>
  <si>
    <t>Address</t>
  </si>
  <si>
    <t>Auburn Library</t>
  </si>
  <si>
    <t>Bothell City Hall</t>
  </si>
  <si>
    <t>Covington Library</t>
  </si>
  <si>
    <t>Enumclaw Library</t>
  </si>
  <si>
    <t>Fall City Library</t>
  </si>
  <si>
    <t>Federal Way City Hall</t>
  </si>
  <si>
    <t>Issaquah City Hall</t>
  </si>
  <si>
    <t>Kenmore City Hall</t>
  </si>
  <si>
    <t>Kentridge High School</t>
  </si>
  <si>
    <t>Kingsgate Library</t>
  </si>
  <si>
    <t>Kirkland City Hall</t>
  </si>
  <si>
    <t>Lake Forest Park City Hall</t>
  </si>
  <si>
    <t>Hobart Food Market</t>
  </si>
  <si>
    <t>Tahoma School District Building</t>
  </si>
  <si>
    <t>Mercer Island Community &amp; Event Center</t>
  </si>
  <si>
    <t>Newcastle City Hall</t>
  </si>
  <si>
    <t>Algona-Pacific Library</t>
  </si>
  <si>
    <t>Redmond City Hall</t>
  </si>
  <si>
    <t>Fairwood Library</t>
  </si>
  <si>
    <t>King County Elections</t>
  </si>
  <si>
    <t>Renton Public Health Center</t>
  </si>
  <si>
    <t>Sammamish City Hall</t>
  </si>
  <si>
    <t>Valley View Library</t>
  </si>
  <si>
    <t>Shoreline Library</t>
  </si>
  <si>
    <t>Snoqualmie Library</t>
  </si>
  <si>
    <t>Tukwila Community Center</t>
  </si>
  <si>
    <t>Vashon Library</t>
  </si>
  <si>
    <t>Woodinville Library</t>
  </si>
  <si>
    <t>Ballard Branch Library</t>
  </si>
  <si>
    <t>Beacon Hill Library</t>
  </si>
  <si>
    <t>Boulevard Park Library</t>
  </si>
  <si>
    <t>Broadview Library</t>
  </si>
  <si>
    <t>Garfield Community Center</t>
  </si>
  <si>
    <t>Green Lake Community Center</t>
  </si>
  <si>
    <t>High Point Library</t>
  </si>
  <si>
    <t>King County Administration Building</t>
  </si>
  <si>
    <t>Lake City Library</t>
  </si>
  <si>
    <t>Magnolia Park</t>
  </si>
  <si>
    <t>Rainier Community Center</t>
  </si>
  <si>
    <t>Skyway Library</t>
  </si>
  <si>
    <t>South Park Library</t>
  </si>
  <si>
    <t>White Center Library</t>
  </si>
  <si>
    <t>Auburn</t>
  </si>
  <si>
    <t>Bellevue</t>
  </si>
  <si>
    <t>Bothell</t>
  </si>
  <si>
    <t>Burien</t>
  </si>
  <si>
    <t>Covington</t>
  </si>
  <si>
    <t>Enumclaw</t>
  </si>
  <si>
    <t>Fall City</t>
  </si>
  <si>
    <t>Federal Way</t>
  </si>
  <si>
    <t>Issaquah</t>
  </si>
  <si>
    <t>Kenmore</t>
  </si>
  <si>
    <t>Kent</t>
  </si>
  <si>
    <t>Kirkland</t>
  </si>
  <si>
    <t>Lake Forest Park</t>
  </si>
  <si>
    <t>Maple Valley</t>
  </si>
  <si>
    <t>Mercer Island</t>
  </si>
  <si>
    <t>Newcastle</t>
  </si>
  <si>
    <t>Pacific</t>
  </si>
  <si>
    <t>Redmond</t>
  </si>
  <si>
    <t>Renton</t>
  </si>
  <si>
    <t>Sammamish</t>
  </si>
  <si>
    <t>SeaTac</t>
  </si>
  <si>
    <t>Shoreline</t>
  </si>
  <si>
    <t>Snoqualmie</t>
  </si>
  <si>
    <t>Tukwila</t>
  </si>
  <si>
    <t>Vashon</t>
  </si>
  <si>
    <t>Woodinville</t>
  </si>
  <si>
    <t>Seattle</t>
  </si>
  <si>
    <t>City</t>
  </si>
  <si>
    <t>Zip</t>
  </si>
  <si>
    <t>Pitney Bowes Code</t>
  </si>
  <si>
    <t>NewHolly Neighborhood Campus</t>
  </si>
  <si>
    <t>Rainier Beach Community Center</t>
  </si>
  <si>
    <t>Tier</t>
  </si>
  <si>
    <t>South Lake Union</t>
  </si>
  <si>
    <t>310 Terry Ave N</t>
  </si>
  <si>
    <t>255 Ellingson Rd</t>
  </si>
  <si>
    <t>1102 Auburn Way S</t>
  </si>
  <si>
    <t>Corner of NW 57th St and 22nd Ave NW</t>
  </si>
  <si>
    <t>2821 Beacon Ave S</t>
  </si>
  <si>
    <t>1111 110th Ave NE</t>
  </si>
  <si>
    <t>18415 101st Ave NE</t>
  </si>
  <si>
    <t>12015 Roseberg Ave S</t>
  </si>
  <si>
    <t>12755 Greenwood Ave N</t>
  </si>
  <si>
    <t>27100 164th Ave SE</t>
  </si>
  <si>
    <t>15600 NE 8th St</t>
  </si>
  <si>
    <t>1700 1st St</t>
  </si>
  <si>
    <t>17009 140th Ave SE</t>
  </si>
  <si>
    <t>33415 SE 42nd Pl</t>
  </si>
  <si>
    <t>33325 8th Ave S</t>
  </si>
  <si>
    <t>2323 E Cherry St</t>
  </si>
  <si>
    <t>7201 E Green Lake Dr N</t>
  </si>
  <si>
    <t>3411 SW Raymond St</t>
  </si>
  <si>
    <t>2400 S 240th St</t>
  </si>
  <si>
    <t>20250 276th Ave SE</t>
  </si>
  <si>
    <t>130 E Sunset Way</t>
  </si>
  <si>
    <t>18120 68th Ave NE</t>
  </si>
  <si>
    <t>12430 SE 208th St</t>
  </si>
  <si>
    <t>500 4th Ave</t>
  </si>
  <si>
    <t>919 SW Grady Way</t>
  </si>
  <si>
    <t>12315 NE 143rd St</t>
  </si>
  <si>
    <t>123 5th Ave</t>
  </si>
  <si>
    <t>12501 28th Ave NE</t>
  </si>
  <si>
    <t>17425 Ballinger Way NE</t>
  </si>
  <si>
    <t>1461 Magnolia Blvd W</t>
  </si>
  <si>
    <t>8236 SE 24th St</t>
  </si>
  <si>
    <t>39015 172nd Ave SE</t>
  </si>
  <si>
    <t>12835 Newcastle Way</t>
  </si>
  <si>
    <t>7054 32nd Ave S</t>
  </si>
  <si>
    <t>9600 College Way N</t>
  </si>
  <si>
    <t>8825 Rainier Ave S</t>
  </si>
  <si>
    <t>15670 NE 85th St</t>
  </si>
  <si>
    <t>401 4th Ave N</t>
  </si>
  <si>
    <t>3201 NE 7th St</t>
  </si>
  <si>
    <t>801 228th Ave SE</t>
  </si>
  <si>
    <t>1701 Broadway</t>
  </si>
  <si>
    <t>345 NE 175th St</t>
  </si>
  <si>
    <t>12601 76th Ave S</t>
  </si>
  <si>
    <t>8604 8th Ave S</t>
  </si>
  <si>
    <t>25720 Maple Valley-Black Diamond Rd SE</t>
  </si>
  <si>
    <t>12424 42nd Ave S</t>
  </si>
  <si>
    <t>17850 Military Rd S</t>
  </si>
  <si>
    <t>1409 SW 107th St</t>
  </si>
  <si>
    <t>17105 Avondale Rd NE</t>
  </si>
  <si>
    <t>KCCD</t>
  </si>
  <si>
    <t>Cong</t>
  </si>
  <si>
    <t>Leg</t>
  </si>
  <si>
    <t>Ramp size</t>
  </si>
  <si>
    <t>Receptacle</t>
  </si>
  <si>
    <t>small</t>
  </si>
  <si>
    <t>yes</t>
  </si>
  <si>
    <t>medium</t>
  </si>
  <si>
    <t>medium?</t>
  </si>
  <si>
    <t>Duvall</t>
  </si>
  <si>
    <t>Additional location descriptor (if any)</t>
  </si>
  <si>
    <t xml:space="preserve">Burien Town Square Park </t>
  </si>
  <si>
    <t>(corner of 5th Ave SW and SW 152nd St)</t>
  </si>
  <si>
    <t>(south entrance)</t>
  </si>
  <si>
    <t>(entrance across from 27th Ave S)</t>
  </si>
  <si>
    <t xml:space="preserve">North Seattle College </t>
  </si>
  <si>
    <t>(south visitor lot access from N 95th St)</t>
  </si>
  <si>
    <t>Regional Justice Center</t>
  </si>
  <si>
    <t>(near parking garage entrance)</t>
  </si>
  <si>
    <t>(by north entrance on NE 41st St)</t>
  </si>
  <si>
    <t>Normandy Park Towne Center</t>
  </si>
  <si>
    <t>Normandy Park</t>
  </si>
  <si>
    <t>19901 1st Ave S</t>
  </si>
  <si>
    <t>North Bend Library</t>
  </si>
  <si>
    <t>North Bend</t>
  </si>
  <si>
    <t>115 E 4th St</t>
  </si>
  <si>
    <t>Newport Way Library</t>
  </si>
  <si>
    <t>14250 SE Newport Way</t>
  </si>
  <si>
    <t>26225 NE Burhen Way</t>
  </si>
  <si>
    <t>310 W Bertona St</t>
  </si>
  <si>
    <t>480 SW 152nd St</t>
  </si>
  <si>
    <t>Auburn Park &amp; Ride</t>
  </si>
  <si>
    <t>101 15th St NE</t>
  </si>
  <si>
    <t>Shoreline Park &amp; Ride</t>
  </si>
  <si>
    <t>Redmond Community Center at Marymoor Village</t>
  </si>
  <si>
    <t>2119 N Northlake Way</t>
  </si>
  <si>
    <t>18821 Aurora Ave N</t>
  </si>
  <si>
    <t>Corner of SW Alaska St and 44th Ave SW</t>
  </si>
  <si>
    <t>Magnuson Park</t>
  </si>
  <si>
    <t>6344 NE 74th St</t>
  </si>
  <si>
    <t>Alt format (combined locations)</t>
  </si>
  <si>
    <t>Special handling (combined locations)</t>
  </si>
  <si>
    <t>Waterway 19 Park</t>
  </si>
  <si>
    <t>6505 176th Ave NE</t>
  </si>
  <si>
    <t>Seattle Pacific University Bookstore</t>
  </si>
  <si>
    <t>(next to Gas Works Park)</t>
  </si>
  <si>
    <t>Election AVC - DO NOT USE</t>
  </si>
  <si>
    <t>Annex AVC - DO NOT USE</t>
  </si>
  <si>
    <t>Abbreviated name</t>
  </si>
  <si>
    <t>Abbreviated name and Pitney Bowes Code</t>
  </si>
  <si>
    <t>Alaska Junction</t>
  </si>
  <si>
    <t>Drive-up location?</t>
  </si>
  <si>
    <t>Redmond Community Center</t>
  </si>
  <si>
    <t>Seattle Central College</t>
  </si>
  <si>
    <t>University of Washington Campus</t>
  </si>
  <si>
    <t xml:space="preserve">Seattle Pacific University  </t>
  </si>
  <si>
    <t>Renton Main First Pick Up</t>
  </si>
  <si>
    <t>Renton Highlands Pick Up</t>
  </si>
  <si>
    <t>Renton Main Second Pick Up</t>
  </si>
  <si>
    <t>King County Administration Building Annex</t>
  </si>
  <si>
    <t>Federal Way 320th Library</t>
  </si>
  <si>
    <t>Angle Lake Transit Station</t>
  </si>
  <si>
    <t>19955 28th Ave S</t>
  </si>
  <si>
    <t>First Election</t>
  </si>
  <si>
    <t>November 2018</t>
  </si>
  <si>
    <t>November 2016</t>
  </si>
  <si>
    <t>November 2017</t>
  </si>
  <si>
    <t>November 2010</t>
  </si>
  <si>
    <t>August 2016</t>
  </si>
  <si>
    <t>August 2017</t>
  </si>
  <si>
    <t>August 2018</t>
  </si>
  <si>
    <t>August 2008</t>
  </si>
  <si>
    <t>August 2019</t>
  </si>
  <si>
    <t>n/a</t>
  </si>
  <si>
    <t>April 2018</t>
  </si>
  <si>
    <t>Special Voter Registration Event</t>
  </si>
  <si>
    <t>November 2019</t>
  </si>
  <si>
    <t>Kent YMCA</t>
  </si>
  <si>
    <t>10828 SE 248th St</t>
  </si>
  <si>
    <t>Serial Number</t>
  </si>
  <si>
    <t>King County Asset Number</t>
  </si>
  <si>
    <t>10142</t>
  </si>
  <si>
    <t>284384</t>
  </si>
  <si>
    <t>10006</t>
  </si>
  <si>
    <t>284345</t>
  </si>
  <si>
    <t>10017</t>
  </si>
  <si>
    <t>284361</t>
  </si>
  <si>
    <t>10144</t>
  </si>
  <si>
    <t>284386</t>
  </si>
  <si>
    <t>10010</t>
  </si>
  <si>
    <t>284344</t>
  </si>
  <si>
    <t>10035</t>
  </si>
  <si>
    <t>245987</t>
  </si>
  <si>
    <t>10157</t>
  </si>
  <si>
    <t>284396</t>
  </si>
  <si>
    <t>245992</t>
  </si>
  <si>
    <t>10079</t>
  </si>
  <si>
    <t>284382</t>
  </si>
  <si>
    <t>10009</t>
  </si>
  <si>
    <t>284343</t>
  </si>
  <si>
    <t>10032</t>
  </si>
  <si>
    <t>245991</t>
  </si>
  <si>
    <t>10021</t>
  </si>
  <si>
    <t>245988</t>
  </si>
  <si>
    <t>284380</t>
  </si>
  <si>
    <t>10038</t>
  </si>
  <si>
    <t>284331</t>
  </si>
  <si>
    <t>284360</t>
  </si>
  <si>
    <t>284363</t>
  </si>
  <si>
    <t>10099</t>
  </si>
  <si>
    <t>284377</t>
  </si>
  <si>
    <t>10158</t>
  </si>
  <si>
    <t>284397</t>
  </si>
  <si>
    <t>10025</t>
  </si>
  <si>
    <t>245990</t>
  </si>
  <si>
    <t>10109</t>
  </si>
  <si>
    <t>284335</t>
  </si>
  <si>
    <t>10026</t>
  </si>
  <si>
    <t>245983</t>
  </si>
  <si>
    <t>10008</t>
  </si>
  <si>
    <t>284342</t>
  </si>
  <si>
    <t>10022</t>
  </si>
  <si>
    <t>284352</t>
  </si>
  <si>
    <t>10105</t>
  </si>
  <si>
    <t>284376</t>
  </si>
  <si>
    <t>10100</t>
  </si>
  <si>
    <t>284378</t>
  </si>
  <si>
    <t>284374</t>
  </si>
  <si>
    <t>10030</t>
  </si>
  <si>
    <t>245984</t>
  </si>
  <si>
    <t>245995</t>
  </si>
  <si>
    <t>284355</t>
  </si>
  <si>
    <t>284338</t>
  </si>
  <si>
    <t>284341</t>
  </si>
  <si>
    <t>10106</t>
  </si>
  <si>
    <t>284336</t>
  </si>
  <si>
    <t>10156</t>
  </si>
  <si>
    <t>284395</t>
  </si>
  <si>
    <t>10037</t>
  </si>
  <si>
    <t>284350</t>
  </si>
  <si>
    <t>Xxxx</t>
  </si>
  <si>
    <t>284393</t>
  </si>
  <si>
    <t>101151</t>
  </si>
  <si>
    <t>284383</t>
  </si>
  <si>
    <t>10111</t>
  </si>
  <si>
    <t>284379</t>
  </si>
  <si>
    <t>10110</t>
  </si>
  <si>
    <t>284332</t>
  </si>
  <si>
    <t>10023</t>
  </si>
  <si>
    <t>284351</t>
  </si>
  <si>
    <t>10146</t>
  </si>
  <si>
    <t>284387</t>
  </si>
  <si>
    <t>10020</t>
  </si>
  <si>
    <t>245989</t>
  </si>
  <si>
    <t>0123028-001</t>
  </si>
  <si>
    <t>245978</t>
  </si>
  <si>
    <t>10034</t>
  </si>
  <si>
    <t>245986</t>
  </si>
  <si>
    <t>10145</t>
  </si>
  <si>
    <t>284388</t>
  </si>
  <si>
    <t>10016</t>
  </si>
  <si>
    <t>284339</t>
  </si>
  <si>
    <t>10147</t>
  </si>
  <si>
    <t>284359</t>
  </si>
  <si>
    <t>10012</t>
  </si>
  <si>
    <t>284337</t>
  </si>
  <si>
    <t>10033</t>
  </si>
  <si>
    <t>284349</t>
  </si>
  <si>
    <t>10108</t>
  </si>
  <si>
    <t>284375</t>
  </si>
  <si>
    <t>10028</t>
  </si>
  <si>
    <t>245994</t>
  </si>
  <si>
    <t>10013</t>
  </si>
  <si>
    <t>284362</t>
  </si>
  <si>
    <t>10103</t>
  </si>
  <si>
    <t>284357</t>
  </si>
  <si>
    <t>10001</t>
  </si>
  <si>
    <t>284340</t>
  </si>
  <si>
    <t>0123027-002</t>
  </si>
  <si>
    <t>245979</t>
  </si>
  <si>
    <t>10011</t>
  </si>
  <si>
    <t>284348</t>
  </si>
  <si>
    <t>10149</t>
  </si>
  <si>
    <t>284390</t>
  </si>
  <si>
    <t>10003</t>
  </si>
  <si>
    <t>284346</t>
  </si>
  <si>
    <t>284356</t>
  </si>
  <si>
    <t>10143</t>
  </si>
  <si>
    <t>284392</t>
  </si>
  <si>
    <t>Other</t>
  </si>
  <si>
    <t>Not from a Drop Box Location</t>
  </si>
  <si>
    <t>South Seattle College</t>
  </si>
  <si>
    <t>Bellevue Library</t>
  </si>
  <si>
    <t>Row Labels</t>
  </si>
  <si>
    <t>(blank)</t>
  </si>
  <si>
    <t>Grand Total</t>
  </si>
  <si>
    <t>Count of KCCD</t>
  </si>
  <si>
    <t>10148</t>
  </si>
  <si>
    <t>284391</t>
  </si>
  <si>
    <t>(at the entrance of the Robert Smith Building)</t>
  </si>
  <si>
    <t>6000 16th Ave SW</t>
  </si>
  <si>
    <t>Black Diamond Library</t>
  </si>
  <si>
    <t>24707 Roberts Dr</t>
  </si>
  <si>
    <t>Black Diamond</t>
  </si>
  <si>
    <t>November 2020</t>
  </si>
  <si>
    <t>4804 Tolt Ave</t>
  </si>
  <si>
    <t>Carnation</t>
  </si>
  <si>
    <t>Carnation Library</t>
  </si>
  <si>
    <t>245977</t>
  </si>
  <si>
    <t>0123027-003</t>
  </si>
  <si>
    <t>Des Moines</t>
  </si>
  <si>
    <t>848 S 320th St</t>
  </si>
  <si>
    <t>2020-50-008</t>
  </si>
  <si>
    <t>284416</t>
  </si>
  <si>
    <t>725 Powell Ave SW</t>
  </si>
  <si>
    <t>Lat</t>
  </si>
  <si>
    <t>Long</t>
  </si>
  <si>
    <t>Vote Center - Bellevue College Gym</t>
  </si>
  <si>
    <t>Vote Center - Federal Way Performing Arts &amp; Event Center</t>
  </si>
  <si>
    <t>Vote Center - Accesso ShoWare Center</t>
  </si>
  <si>
    <t>Vote Center - CenturyLink Field Event Center</t>
  </si>
  <si>
    <t>Vote Center - University of Washington Seattle Campus, Dempsey Indoor Center</t>
  </si>
  <si>
    <t>713 6th Ave S</t>
  </si>
  <si>
    <t>2020-50-014</t>
  </si>
  <si>
    <t>284419</t>
  </si>
  <si>
    <t>284418</t>
  </si>
  <si>
    <t>2020-05-015</t>
  </si>
  <si>
    <t>20500 108th Ave SE</t>
  </si>
  <si>
    <t>Kentridge High School - Removed / no longer active</t>
  </si>
  <si>
    <t>Burien Town Square Park</t>
  </si>
  <si>
    <t>Crossroads Shopping Center</t>
  </si>
  <si>
    <t>North Seattle College</t>
  </si>
  <si>
    <t>Kent Panther Lake Library</t>
  </si>
  <si>
    <t>August 2021</t>
  </si>
  <si>
    <t>4600 38th Ave S</t>
  </si>
  <si>
    <t>Muckleshoot Tribe, Philip Starr Building</t>
  </si>
  <si>
    <t>Drop Box #1</t>
  </si>
  <si>
    <t>Drop Box #2</t>
  </si>
  <si>
    <t>Drop Box #3</t>
  </si>
  <si>
    <t>NOT IN USE - AT KCE</t>
  </si>
  <si>
    <t>2020-50-13</t>
  </si>
  <si>
    <t>Duvall P.D./Depot Park</t>
  </si>
  <si>
    <t>7824 Center Blvd SE</t>
  </si>
  <si>
    <t>17210 Vashon Hwy SW</t>
  </si>
  <si>
    <t>1410 NE Campus Pkwy</t>
  </si>
  <si>
    <t>Highline College</t>
  </si>
  <si>
    <t>Additional location descriptor (if any)
This field goes in the Special Instruction field in VoteWA</t>
  </si>
  <si>
    <t>Uwajimaya</t>
  </si>
  <si>
    <t>University of Washington Bothell</t>
  </si>
  <si>
    <t>18220 Campus Way NE</t>
  </si>
  <si>
    <t>November 2021</t>
  </si>
  <si>
    <t>Powell Avenue</t>
  </si>
  <si>
    <t>Woodinville City Hall</t>
  </si>
  <si>
    <t>17301 133rd Ave NE</t>
  </si>
  <si>
    <t>August 2022</t>
  </si>
  <si>
    <t>King Street Box</t>
  </si>
  <si>
    <t>(by the Activities &amp; Recreation Center)</t>
  </si>
  <si>
    <t>(in front of the Kingdome Deli)</t>
  </si>
  <si>
    <t>10005</t>
  </si>
  <si>
    <t>284353</t>
  </si>
  <si>
    <t>Metropolitan Market - Queen Anne</t>
  </si>
  <si>
    <t>Corner of 1st Ave N and Mercer St</t>
  </si>
  <si>
    <t>King County Administration Building - Removed / no longer active</t>
  </si>
  <si>
    <t>284420</t>
  </si>
  <si>
    <t>2021-50-018</t>
  </si>
  <si>
    <t>Corner of 2nd Ave S and S King St</t>
  </si>
  <si>
    <t>Bothell Library</t>
  </si>
  <si>
    <t>18215 98th Ave NE</t>
  </si>
  <si>
    <t>Safeway - Crown Hill</t>
  </si>
  <si>
    <t>Safeway - Star Lake</t>
  </si>
  <si>
    <t>28810 Military Rd S</t>
  </si>
  <si>
    <t>8340 15th Ave NW</t>
  </si>
  <si>
    <t>November 2023</t>
  </si>
  <si>
    <t>2021-50-022</t>
  </si>
  <si>
    <t>284422</t>
  </si>
  <si>
    <t>10112</t>
  </si>
  <si>
    <t>284334</t>
  </si>
  <si>
    <t>Algona Pacific Library</t>
  </si>
  <si>
    <t>Magnuson Park Building 406</t>
  </si>
  <si>
    <t>Metropolitan Market Queen Anne</t>
  </si>
  <si>
    <t>Safeway Crown Hill</t>
  </si>
  <si>
    <t>Safeway Star Lake</t>
  </si>
  <si>
    <t>Muckleshoot Tribe Philip Starr Building</t>
  </si>
  <si>
    <t>University of Washington Bothell Campus</t>
  </si>
  <si>
    <t>University of Washington Campus Schmitz Hall</t>
  </si>
  <si>
    <t>Duvall Police Department Depot Park</t>
  </si>
  <si>
    <t>(northeast corner of the Broadway-Edison Building)</t>
  </si>
  <si>
    <t>DROP BOX LOCATION</t>
  </si>
  <si>
    <t>DBC</t>
  </si>
  <si>
    <t>Ballard Branch Library B</t>
  </si>
  <si>
    <t>Ballard Branch Library A</t>
  </si>
  <si>
    <t>Sig Challenge?</t>
  </si>
  <si>
    <t>Muckleshoot Community Center</t>
  </si>
  <si>
    <t>17432 SE 392nd St</t>
  </si>
  <si>
    <t>Morgan Junction Park</t>
  </si>
  <si>
    <t>South Sammamish Park &amp; Ride</t>
  </si>
  <si>
    <t>6401 California Ave SW</t>
  </si>
  <si>
    <t>August 2024</t>
  </si>
  <si>
    <t>3015 228th Ave SE</t>
  </si>
  <si>
    <t>2023-50-032</t>
  </si>
  <si>
    <t>284425</t>
  </si>
  <si>
    <t>12th &amp; Cherry</t>
  </si>
  <si>
    <t>1223 E Cherry St</t>
  </si>
  <si>
    <t>2021-50-021</t>
  </si>
  <si>
    <t>284421</t>
  </si>
  <si>
    <t>2021-50-023</t>
  </si>
  <si>
    <t>284423</t>
  </si>
  <si>
    <t>Redmond Ridge Park &amp; Ride</t>
  </si>
  <si>
    <t>North Bellevue Community Center</t>
  </si>
  <si>
    <t>Tukwila Justice Center</t>
  </si>
  <si>
    <t>4063 148th Ave NE</t>
  </si>
  <si>
    <t>November 2024</t>
  </si>
  <si>
    <t>tub</t>
  </si>
  <si>
    <t>Corner of NE Cedar Park Cres and Redmond Ridge Drive NE</t>
  </si>
  <si>
    <t>15005 Tukwila International Blvd</t>
  </si>
  <si>
    <t>2024-50-030</t>
  </si>
  <si>
    <t>2024-50-028</t>
  </si>
  <si>
    <t>2024-50-027</t>
  </si>
  <si>
    <t>284430</t>
  </si>
  <si>
    <t>284431</t>
  </si>
  <si>
    <t>284429</t>
  </si>
  <si>
    <t>Date Moved
(if applicable)</t>
  </si>
  <si>
    <t>6/18/2024</t>
  </si>
  <si>
    <t>5/20/2024</t>
  </si>
  <si>
    <t>(corner of NW 83rd Street and Mary Avenue NW)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</si>
</sst>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00000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22222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Fill="1"/>
    <xf numFmtId="164" fontId="0" fillId="0" borderId="0" xfId="0" applyNumberFormat="1" applyFill="1"/>
    <xf numFmtId="0" fontId="1" fillId="0" borderId="0" xfId="0" applyFont="1" applyFill="1"/>
    <xf numFmtId="0" fontId="2" fillId="0" borderId="0" xfId="0" applyFont="1" applyFill="1"/>
    <xf numFmtId="0" fontId="0" fillId="0" borderId="0" xfId="0" applyFill="1" applyBorder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0" borderId="0" xfId="0" applyNumberFormat="1" applyFill="1"/>
    <xf numFmtId="0" fontId="0" fillId="3" borderId="0" xfId="0" applyNumberFormat="1" applyFill="1"/>
    <xf numFmtId="49" fontId="0" fillId="0" borderId="0" xfId="0" applyNumberFormat="1" applyFill="1"/>
    <xf numFmtId="49" fontId="0" fillId="2" borderId="0" xfId="0" applyNumberFormat="1" applyFill="1"/>
    <xf numFmtId="0" fontId="0" fillId="4" borderId="0" xfId="0" applyFill="1"/>
    <xf numFmtId="164" fontId="1" fillId="0" borderId="0" xfId="0" applyNumberFormat="1" applyFont="1" applyFill="1"/>
    <xf numFmtId="49" fontId="1" fillId="0" borderId="0" xfId="0" applyNumberFormat="1" applyFont="1" applyFill="1"/>
    <xf numFmtId="0" fontId="1" fillId="0" borderId="0" xfId="0" applyNumberFormat="1" applyFont="1" applyFill="1"/>
    <xf numFmtId="164" fontId="2" fillId="0" borderId="0" xfId="0" applyNumberFormat="1" applyFont="1" applyFill="1"/>
    <xf numFmtId="49" fontId="2" fillId="0" borderId="0" xfId="0" applyNumberFormat="1" applyFont="1" applyFill="1"/>
    <xf numFmtId="0" fontId="2" fillId="0" borderId="0" xfId="0" applyNumberFormat="1" applyFon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49" fontId="0" fillId="0" borderId="0" xfId="0" applyNumberFormat="1" applyFill="1" applyAlignment="1">
      <alignment horizontal="left"/>
    </xf>
    <xf numFmtId="49" fontId="1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left"/>
    </xf>
    <xf numFmtId="0" fontId="0" fillId="0" borderId="0" xfId="0" applyFont="1" applyFill="1"/>
    <xf numFmtId="0" fontId="0" fillId="2" borderId="0" xfId="0" applyFont="1" applyFill="1"/>
    <xf numFmtId="0" fontId="0" fillId="3" borderId="0" xfId="0" applyFont="1" applyFill="1"/>
    <xf numFmtId="0" fontId="0" fillId="6" borderId="0" xfId="0" applyFill="1"/>
    <xf numFmtId="164" fontId="0" fillId="6" borderId="0" xfId="0" applyNumberFormat="1" applyFill="1"/>
    <xf numFmtId="49" fontId="0" fillId="6" borderId="0" xfId="0" applyNumberFormat="1" applyFill="1"/>
    <xf numFmtId="0" fontId="0" fillId="6" borderId="0" xfId="0" applyFont="1" applyFill="1"/>
    <xf numFmtId="49" fontId="0" fillId="6" borderId="0" xfId="0" applyNumberFormat="1" applyFill="1" applyAlignment="1">
      <alignment horizontal="left"/>
    </xf>
    <xf numFmtId="0" fontId="6" fillId="5" borderId="1" xfId="0" applyFont="1" applyFill="1" applyBorder="1"/>
    <xf numFmtId="0" fontId="6" fillId="5" borderId="2" xfId="0" applyFont="1" applyFill="1" applyBorder="1"/>
    <xf numFmtId="164" fontId="6" fillId="5" borderId="2" xfId="0" applyNumberFormat="1" applyFont="1" applyFill="1" applyBorder="1"/>
    <xf numFmtId="49" fontId="6" fillId="5" borderId="2" xfId="0" applyNumberFormat="1" applyFont="1" applyFill="1" applyBorder="1"/>
    <xf numFmtId="0" fontId="6" fillId="5" borderId="2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165" fontId="0" fillId="0" borderId="0" xfId="0" applyNumberFormat="1" applyFont="1" applyFill="1"/>
    <xf numFmtId="0" fontId="0" fillId="0" borderId="0" xfId="0" applyFill="1" applyAlignment="1">
      <alignment wrapText="1"/>
    </xf>
    <xf numFmtId="0" fontId="5" fillId="0" borderId="0" xfId="0" applyFont="1" applyFill="1"/>
    <xf numFmtId="0" fontId="2" fillId="4" borderId="0" xfId="0" applyFont="1" applyFill="1"/>
    <xf numFmtId="164" fontId="0" fillId="4" borderId="0" xfId="0" applyNumberFormat="1" applyFill="1"/>
    <xf numFmtId="49" fontId="0" fillId="4" borderId="0" xfId="0" applyNumberFormat="1" applyFill="1"/>
    <xf numFmtId="0" fontId="0" fillId="4" borderId="0" xfId="0" applyFont="1" applyFill="1"/>
    <xf numFmtId="0" fontId="0" fillId="4" borderId="0" xfId="0" applyNumberFormat="1" applyFill="1"/>
    <xf numFmtId="49" fontId="0" fillId="4" borderId="0" xfId="0" applyNumberFormat="1" applyFill="1" applyAlignment="1">
      <alignment horizontal="left"/>
    </xf>
    <xf numFmtId="0" fontId="7" fillId="0" borderId="5" xfId="0" applyFont="1" applyFill="1" applyBorder="1"/>
    <xf numFmtId="0" fontId="0" fillId="0" borderId="8" xfId="0" applyFont="1" applyFill="1" applyBorder="1"/>
    <xf numFmtId="0" fontId="0" fillId="0" borderId="9" xfId="0" applyFont="1" applyFill="1" applyBorder="1"/>
    <xf numFmtId="0" fontId="2" fillId="0" borderId="8" xfId="0" applyFont="1" applyFill="1" applyBorder="1"/>
    <xf numFmtId="0" fontId="2" fillId="0" borderId="9" xfId="0" applyFont="1" applyFill="1" applyBorder="1"/>
    <xf numFmtId="0" fontId="0" fillId="0" borderId="10" xfId="0" applyFont="1" applyFill="1" applyBorder="1"/>
    <xf numFmtId="0" fontId="0" fillId="0" borderId="12" xfId="0" applyFont="1" applyFill="1" applyBorder="1"/>
    <xf numFmtId="0" fontId="7" fillId="0" borderId="6" xfId="0" applyFont="1" applyFill="1" applyBorder="1" applyAlignment="1">
      <alignment horizontal="center"/>
    </xf>
    <xf numFmtId="164" fontId="0" fillId="0" borderId="4" xfId="0" applyNumberFormat="1" applyFont="1" applyFill="1" applyBorder="1" applyAlignment="1">
      <alignment horizontal="center"/>
    </xf>
    <xf numFmtId="164" fontId="0" fillId="0" borderId="1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7" xfId="0" applyFont="1" applyFill="1" applyBorder="1" applyAlignment="1">
      <alignment horizontal="center"/>
    </xf>
    <xf numFmtId="0" fontId="8" fillId="4" borderId="0" xfId="0" applyFont="1" applyFill="1"/>
    <xf numFmtId="0" fontId="0" fillId="4" borderId="0" xfId="0" applyFill="1" applyAlignment="1">
      <alignment wrapText="1"/>
    </xf>
    <xf numFmtId="49" fontId="0" fillId="0" borderId="0" xfId="0" applyNumberFormat="1" applyFill="1" applyAlignment="1">
      <alignment wrapText="1"/>
    </xf>
    <xf numFmtId="0" fontId="2" fillId="7" borderId="0" xfId="0" applyFont="1" applyFill="1"/>
    <xf numFmtId="0" fontId="0" fillId="7" borderId="0" xfId="0" applyFont="1" applyFill="1"/>
    <xf numFmtId="0" fontId="0" fillId="8" borderId="0" xfId="0" applyFill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numFmt numFmtId="164" formatCode="000"/>
      <fill>
        <patternFill patternType="none">
          <fgColor indexed="64"/>
          <bgColor indexed="65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se, Janice" refreshedDate="44504.650893055557" createdVersion="6" refreshedVersion="6" minRefreshableVersion="3" recordCount="75" xr:uid="{00000000-000A-0000-FFFF-FFFF00000000}">
  <cacheSource type="worksheet">
    <worksheetSource name="Table1"/>
  </cacheSource>
  <cacheFields count="20">
    <cacheField name="Name" numFmtId="0">
      <sharedItems/>
    </cacheField>
    <cacheField name="Pitney Bowes Code" numFmtId="164">
      <sharedItems containsSemiMixedTypes="0" containsString="0" containsNumber="1" containsInteger="1" minValue="5" maxValue="540"/>
    </cacheField>
    <cacheField name="Additional location descriptor (if any)_x000a_This field goes in the Special Instruction field in VoteWA" numFmtId="0">
      <sharedItems containsBlank="1"/>
    </cacheField>
    <cacheField name="Abbreviated name" numFmtId="0">
      <sharedItems/>
    </cacheField>
    <cacheField name="Address" numFmtId="0">
      <sharedItems/>
    </cacheField>
    <cacheField name="City" numFmtId="0">
      <sharedItems/>
    </cacheField>
    <cacheField name="Zip" numFmtId="0">
      <sharedItems containsSemiMixedTypes="0" containsString="0" containsNumber="1" containsInteger="1" minValue="98001" maxValue="98199"/>
    </cacheField>
    <cacheField name="First Election" numFmtId="49">
      <sharedItems/>
    </cacheField>
    <cacheField name="Tier" numFmtId="0">
      <sharedItems containsString="0" containsBlank="1" containsNumber="1" containsInteger="1" minValue="1" maxValue="4"/>
    </cacheField>
    <cacheField name="KCCD" numFmtId="0">
      <sharedItems containsString="0" containsBlank="1" containsNumber="1" containsInteger="1" minValue="1" maxValue="9" count="10">
        <n v="8"/>
        <n v="7"/>
        <n v="5"/>
        <n v="4"/>
        <n v="2"/>
        <n v="6"/>
        <n v="9"/>
        <n v="1"/>
        <n v="3"/>
        <m/>
      </sharedItems>
    </cacheField>
    <cacheField name="Cong" numFmtId="0">
      <sharedItems containsString="0" containsBlank="1" containsNumber="1" containsInteger="1" minValue="1" maxValue="9"/>
    </cacheField>
    <cacheField name="Leg" numFmtId="0">
      <sharedItems containsString="0" containsBlank="1" containsNumber="1" containsInteger="1" minValue="1" maxValue="48"/>
    </cacheField>
    <cacheField name="Drive-up location?" numFmtId="0">
      <sharedItems containsBlank="1"/>
    </cacheField>
    <cacheField name="Ramp size" numFmtId="0">
      <sharedItems containsBlank="1"/>
    </cacheField>
    <cacheField name="Receptacle" numFmtId="0">
      <sharedItems containsBlank="1"/>
    </cacheField>
    <cacheField name="Lat" numFmtId="0">
      <sharedItems containsSemiMixedTypes="0" containsString="0" containsNumber="1" minValue="47.203415999999997" maxValue="47.767488"/>
    </cacheField>
    <cacheField name="Long" numFmtId="0">
      <sharedItems containsSemiMixedTypes="0" containsString="0" containsNumber="1" minValue="-122.4597488" maxValue="-121.783107"/>
    </cacheField>
    <cacheField name="Abbreviated name and Pitney Bowes Code" numFmtId="0">
      <sharedItems containsBlank="1"/>
    </cacheField>
    <cacheField name="Serial Number" numFmtId="0">
      <sharedItems containsBlank="1" containsMixedTypes="1" containsNumber="1" containsInteger="1" minValue="10002" maxValue="2016002"/>
    </cacheField>
    <cacheField name="King County Asset Number" numFmtId="0">
      <sharedItems containsBlank="1" containsMixedTypes="1" containsNumber="1" containsInteger="1" minValue="245985" maxValue="2843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Alaska Junction"/>
    <n v="5"/>
    <m/>
    <s v="Alaska Junction"/>
    <s v="Corner of SW Alaska St and 44th Ave SW"/>
    <s v="Seattle"/>
    <n v="98116"/>
    <s v="November 2018"/>
    <n v="2"/>
    <x v="0"/>
    <n v="7"/>
    <n v="34"/>
    <m/>
    <s v="medium"/>
    <m/>
    <n v="47.561067000000001"/>
    <n v="-122.387843"/>
    <s v="Alaska Junction (005)"/>
    <s v="10142"/>
    <s v="284384"/>
  </r>
  <r>
    <s v="Algona-Pacific Library"/>
    <n v="10"/>
    <m/>
    <s v="Algona-Pacific Library"/>
    <s v="255 Ellingson Rd"/>
    <s v="Pacific"/>
    <n v="98047"/>
    <s v="August 2016"/>
    <n v="4"/>
    <x v="1"/>
    <n v="8"/>
    <n v="30"/>
    <m/>
    <s v="small"/>
    <m/>
    <n v="47.271682200000001"/>
    <n v="-122.2540566"/>
    <s v="Algona-Pacific Library (010)"/>
    <s v="10006"/>
    <s v="284345"/>
  </r>
  <r>
    <s v="Angle Lake Transit Station"/>
    <n v="15"/>
    <m/>
    <s v="Angle Lake Transit Station"/>
    <s v="19955 28th Ave S"/>
    <s v="SeaTac"/>
    <n v="98188"/>
    <s v="November 2019"/>
    <n v="4"/>
    <x v="2"/>
    <n v="9"/>
    <n v="33"/>
    <m/>
    <m/>
    <m/>
    <n v="47.423299999999998"/>
    <n v="-122.298"/>
    <s v="Angle Lake Transit Station (015)"/>
    <s v="10143"/>
    <s v="284392"/>
  </r>
  <r>
    <s v="Auburn Library"/>
    <n v="20"/>
    <m/>
    <s v="Auburn Library"/>
    <s v="1102 Auburn Way S"/>
    <s v="Auburn"/>
    <n v="98002"/>
    <s v="August 2016"/>
    <n v="4"/>
    <x v="1"/>
    <n v="8"/>
    <n v="31"/>
    <m/>
    <s v="medium"/>
    <m/>
    <n v="47.298516599999999"/>
    <n v="-122.2176449"/>
    <s v="Auburn Library (020)"/>
    <s v="10017"/>
    <s v="284361"/>
  </r>
  <r>
    <s v="Auburn Park &amp; Ride"/>
    <n v="25"/>
    <m/>
    <s v="Auburn Park &amp; Ride"/>
    <s v="101 15th St NE"/>
    <s v="Auburn"/>
    <n v="98001"/>
    <s v="November 2018"/>
    <n v="4"/>
    <x v="1"/>
    <n v="8"/>
    <n v="47"/>
    <m/>
    <s v="small"/>
    <m/>
    <n v="47.321171"/>
    <n v="-122.226406"/>
    <s v="Auburn Park &amp; Ride (025)"/>
    <s v="10144"/>
    <s v="284386"/>
  </r>
  <r>
    <s v="Ballard Branch Library"/>
    <n v="30"/>
    <m/>
    <s v="Ballard Branch Library"/>
    <s v="Corner of NW 57th St and 22nd Ave NW"/>
    <s v="Seattle"/>
    <n v="98107"/>
    <s v="November 2010"/>
    <n v="1"/>
    <x v="3"/>
    <n v="7"/>
    <n v="36"/>
    <m/>
    <s v="medium"/>
    <m/>
    <n v="47.669986999999999"/>
    <n v="-122.38466200000001"/>
    <s v="Ballard Branch Library (030)"/>
    <s v="10010"/>
    <s v="284344"/>
  </r>
  <r>
    <s v="Beacon Hill Library"/>
    <n v="40"/>
    <m/>
    <s v="Beacon Hill Library"/>
    <s v="2821 Beacon Ave S"/>
    <s v="Seattle"/>
    <n v="98144"/>
    <s v="November 2016"/>
    <n v="4"/>
    <x v="4"/>
    <n v="9"/>
    <n v="37"/>
    <m/>
    <s v="medium"/>
    <m/>
    <n v="47.577831000000003"/>
    <n v="-122.31187799999999"/>
    <s v="Beacon Hill Library (040)"/>
    <s v="10035"/>
    <s v="245987"/>
  </r>
  <r>
    <s v="Bellevue Library"/>
    <n v="50"/>
    <m/>
    <s v="Bellevue Regional Library"/>
    <s v="1111 110th Ave NE"/>
    <s v="Bellevue"/>
    <n v="98004"/>
    <s v="August 2016"/>
    <n v="2"/>
    <x v="5"/>
    <n v="9"/>
    <n v="48"/>
    <m/>
    <s v="medium"/>
    <m/>
    <n v="47.620410999999997"/>
    <n v="-122.193866"/>
    <s v="Bellevue Regional Library (050)"/>
    <s v="10157"/>
    <s v="284396"/>
  </r>
  <r>
    <s v="Black Diamond Library"/>
    <n v="55"/>
    <m/>
    <s v="Black Diamond Library"/>
    <s v="24707 Roberts Dr"/>
    <s v="Black Diamond"/>
    <n v="98010"/>
    <s v="November 2020"/>
    <m/>
    <x v="6"/>
    <n v="8"/>
    <n v="5"/>
    <m/>
    <m/>
    <m/>
    <n v="47.311737200000003"/>
    <n v="-122.0126544"/>
    <s v="Black Diamond Library (055)"/>
    <s v="2020-50-008"/>
    <s v="284416"/>
  </r>
  <r>
    <s v="Bothell City Hall"/>
    <n v="60"/>
    <m/>
    <s v="Bothell City Hall"/>
    <s v="18415 101st Ave NE"/>
    <s v="Bothell"/>
    <n v="98011"/>
    <s v="November 2016"/>
    <n v="4"/>
    <x v="7"/>
    <n v="1"/>
    <n v="1"/>
    <m/>
    <s v="medium"/>
    <m/>
    <n v="47.761262000000002"/>
    <n v="-122.20564299999999"/>
    <s v="Bothell City Hall (060)"/>
    <n v="10036"/>
    <s v="245992"/>
  </r>
  <r>
    <s v="Boulevard Park Library"/>
    <n v="70"/>
    <m/>
    <s v="Boulevard Park Library"/>
    <s v="12015 Roseberg Ave S"/>
    <s v="Seattle"/>
    <n v="98168"/>
    <s v="August 2017"/>
    <n v="4"/>
    <x v="0"/>
    <n v="7"/>
    <n v="33"/>
    <m/>
    <s v="medium"/>
    <m/>
    <n v="47.495337999999997"/>
    <n v="-122.30766800000001"/>
    <s v="Boulevard Park Library (070)"/>
    <s v="10079"/>
    <s v="284382"/>
  </r>
  <r>
    <s v="Broadview Library"/>
    <n v="80"/>
    <m/>
    <s v="Broadview Library"/>
    <s v="12755 Greenwood Ave N"/>
    <s v="Seattle"/>
    <n v="98133"/>
    <s v="August 2016"/>
    <n v="2"/>
    <x v="3"/>
    <n v="7"/>
    <n v="32"/>
    <m/>
    <s v="medium"/>
    <m/>
    <n v="47.723081000000001"/>
    <n v="-122.35628800000001"/>
    <s v="Broadview Library (080)"/>
    <s v="10009"/>
    <s v="284343"/>
  </r>
  <r>
    <s v="Burien Town Square Park"/>
    <n v="90"/>
    <s v="(corner of 5th Ave SW and SW 152nd St)"/>
    <s v="Burien Town Square Park "/>
    <s v="480 SW 152nd St"/>
    <s v="Burien"/>
    <n v="98166"/>
    <s v="November 2016"/>
    <n v="1"/>
    <x v="0"/>
    <n v="7"/>
    <n v="34"/>
    <m/>
    <s v="medium"/>
    <m/>
    <n v="47.466932300000003"/>
    <n v="-122.34029630000001"/>
    <s v="Burien Town Square Park  (090)"/>
    <s v="10032"/>
    <s v="245991"/>
  </r>
  <r>
    <s v="Carnation Library"/>
    <n v="95"/>
    <m/>
    <s v="Carnation Public Library"/>
    <s v="4804 Tolt Ave"/>
    <s v="Carnation"/>
    <n v="98014"/>
    <s v="November 2020"/>
    <m/>
    <x v="8"/>
    <n v="1"/>
    <n v="5"/>
    <m/>
    <m/>
    <m/>
    <n v="47.650469999999999"/>
    <n v="-121.91217"/>
    <s v="Carnation Public Library (095)"/>
    <s v="0123027-003"/>
    <s v="245977"/>
  </r>
  <r>
    <s v="Uwajimaya"/>
    <n v="100"/>
    <m/>
    <s v="Chinatown/Uwajimaya"/>
    <s v="713 6th Ave S"/>
    <s v="Seattle"/>
    <n v="98104"/>
    <s v="November 2016"/>
    <n v="4"/>
    <x v="0"/>
    <n v="9"/>
    <n v="37"/>
    <m/>
    <s v="medium"/>
    <m/>
    <n v="47.597051"/>
    <n v="-122.326481"/>
    <s v="Chinatown/Uwajimaya (100)"/>
    <n v="10031"/>
    <n v="245985"/>
  </r>
  <r>
    <s v="Covington Library"/>
    <n v="110"/>
    <m/>
    <s v="Covington Library"/>
    <s v="27100 164th Ave SE"/>
    <s v="Covington"/>
    <n v="98042"/>
    <s v="November 2016"/>
    <n v="4"/>
    <x v="6"/>
    <n v="8"/>
    <n v="47"/>
    <m/>
    <s v="medium"/>
    <m/>
    <n v="47.359065200000003"/>
    <n v="-122.12211069999999"/>
    <s v="Covington Library (110)"/>
    <s v="10021"/>
    <s v="245988"/>
  </r>
  <r>
    <s v="Crossroads Shopping Center"/>
    <n v="120"/>
    <s v="(south entrance)"/>
    <s v="Crossroads Shopping Center"/>
    <s v="15600 NE 8th St"/>
    <s v="Bellevue"/>
    <n v="98008"/>
    <s v="August 2017"/>
    <n v="1"/>
    <x v="5"/>
    <n v="9"/>
    <n v="48"/>
    <m/>
    <s v="medium"/>
    <m/>
    <n v="47.617776200000002"/>
    <n v="-122.1301479"/>
    <s v="Crossroads Shopping Center (120)"/>
    <n v="10039"/>
    <s v="284380"/>
  </r>
  <r>
    <s v="Duvall Police Department - Depot Park"/>
    <n v="125"/>
    <m/>
    <s v="Duvall P.D./Depot Park"/>
    <s v="26225 NE Burhen Way"/>
    <s v="Duvall"/>
    <n v="98019"/>
    <s v="April 2018"/>
    <n v="4"/>
    <x v="8"/>
    <n v="1"/>
    <n v="45"/>
    <s v="yes"/>
    <s v="medium"/>
    <s v="gray"/>
    <n v="47.740019400000001"/>
    <n v="-121.98745340000001"/>
    <s v="Duvall P.D./Depot Park (125)"/>
    <s v="10038"/>
    <s v="284331"/>
  </r>
  <r>
    <s v="Enumclaw Library"/>
    <n v="130"/>
    <m/>
    <s v="Enumclaw Library"/>
    <s v="1700 1st St"/>
    <s v="Enumclaw"/>
    <n v="98022"/>
    <s v="August 2016"/>
    <n v="4"/>
    <x v="6"/>
    <n v="8"/>
    <n v="31"/>
    <m/>
    <s v="medium"/>
    <m/>
    <n v="47.203415999999997"/>
    <n v="-121.9876613"/>
    <s v="Enumclaw Library (130)"/>
    <n v="2016001"/>
    <s v="284360"/>
  </r>
  <r>
    <s v="Fairwood Library"/>
    <n v="140"/>
    <m/>
    <s v="Fairwood Library"/>
    <s v="17009 140th Ave SE"/>
    <s v="Renton"/>
    <n v="98058"/>
    <s v="August 2016"/>
    <n v="4"/>
    <x v="6"/>
    <n v="9"/>
    <n v="11"/>
    <m/>
    <s v="small"/>
    <m/>
    <n v="47.450586000000001"/>
    <n v="-122.15481699999999"/>
    <s v="Fairwood Library (140)"/>
    <n v="2016002"/>
    <s v="284363"/>
  </r>
  <r>
    <s v="Fall City Library"/>
    <n v="150"/>
    <m/>
    <s v="Fall City Library"/>
    <s v="33415 SE 42nd Pl"/>
    <s v="Fall City"/>
    <n v="98024"/>
    <s v="August 2017"/>
    <n v="4"/>
    <x v="8"/>
    <n v="8"/>
    <n v="5"/>
    <m/>
    <s v="small"/>
    <m/>
    <n v="47.568584999999999"/>
    <n v="-121.893767"/>
    <s v="Fall City Library (150)"/>
    <s v="10099"/>
    <s v="284377"/>
  </r>
  <r>
    <s v="Federal Way 320th Library"/>
    <n v="155"/>
    <m/>
    <s v="Federal Way 320th Library"/>
    <s v="848 S 320th St"/>
    <s v="Federal Way"/>
    <n v="98003"/>
    <s v="August 2019"/>
    <n v="4"/>
    <x v="1"/>
    <n v="9"/>
    <n v="30"/>
    <m/>
    <m/>
    <m/>
    <n v="47.315742"/>
    <n v="-122.320815"/>
    <s v="Federal Way 320th Library (155)"/>
    <s v="10158"/>
    <s v="284397"/>
  </r>
  <r>
    <s v="Federal Way City Hall"/>
    <n v="160"/>
    <m/>
    <s v="Federal Way City Hall"/>
    <s v="33325 8th Ave S"/>
    <s v="Federal Way"/>
    <n v="98003"/>
    <s v="November 2016"/>
    <n v="1"/>
    <x v="1"/>
    <n v="9"/>
    <n v="30"/>
    <m/>
    <s v="small"/>
    <m/>
    <n v="47.304138999999999"/>
    <n v="-122.325417"/>
    <s v="Federal Way City Hall (160)"/>
    <s v="10025"/>
    <s v="245990"/>
  </r>
  <r>
    <s v="Garfield Community Center"/>
    <n v="170"/>
    <m/>
    <s v="Garfield Community Center"/>
    <s v="2323 E Cherry St"/>
    <s v="Seattle"/>
    <n v="98122"/>
    <s v="August 2017"/>
    <n v="4"/>
    <x v="4"/>
    <n v="9"/>
    <n v="37"/>
    <m/>
    <s v="medium"/>
    <m/>
    <n v="47.607722000000003"/>
    <n v="-122.301638"/>
    <s v="Garfield Community Center (170)"/>
    <s v="10109"/>
    <s v="284335"/>
  </r>
  <r>
    <s v="Green Lake Community Center"/>
    <n v="180"/>
    <m/>
    <s v="Green Lake Community Center"/>
    <s v="7201 E Green Lake Dr N"/>
    <s v="Seattle"/>
    <n v="98115"/>
    <s v="November 2016"/>
    <n v="1"/>
    <x v="3"/>
    <n v="7"/>
    <n v="43"/>
    <m/>
    <s v="small"/>
    <m/>
    <n v="47.680322400000001"/>
    <n v="-122.32830079999999"/>
    <s v="Green Lake Community Center (180)"/>
    <s v="10026"/>
    <s v="245983"/>
  </r>
  <r>
    <s v="High Point Library"/>
    <n v="190"/>
    <m/>
    <s v="High Point Library"/>
    <s v="3411 SW Raymond St"/>
    <s v="Seattle"/>
    <n v="98126"/>
    <s v="August 2016"/>
    <n v="1"/>
    <x v="0"/>
    <n v="7"/>
    <n v="34"/>
    <m/>
    <s v="medium"/>
    <m/>
    <n v="47.548219000000003"/>
    <n v="-122.37561599999999"/>
    <s v="High Point Library (190)"/>
    <s v="10008"/>
    <s v="284342"/>
  </r>
  <r>
    <s v="Highline College"/>
    <n v="200"/>
    <s v="(entrance across from 27th Ave S)"/>
    <s v="Highline College"/>
    <s v="2400 S 240th St"/>
    <s v="Des Moines"/>
    <n v="98198"/>
    <s v="November 2016"/>
    <n v="4"/>
    <x v="2"/>
    <n v="9"/>
    <n v="33"/>
    <s v="yes"/>
    <s v="medium"/>
    <s v="gray"/>
    <n v="47.386772999999998"/>
    <n v="-122.29982099999999"/>
    <s v="Highline College (200)"/>
    <s v="10022"/>
    <s v="284352"/>
  </r>
  <r>
    <s v="Hobart Food Market"/>
    <n v="210"/>
    <m/>
    <s v="Hobart Food Market"/>
    <s v="20250 276th Ave SE"/>
    <s v="Maple Valley"/>
    <n v="98038"/>
    <s v="August 2017"/>
    <n v="4"/>
    <x v="6"/>
    <n v="8"/>
    <n v="5"/>
    <m/>
    <s v="medium"/>
    <m/>
    <n v="47.419941000000001"/>
    <n v="-121.97291800000001"/>
    <s v="Hobart Food Market (210)"/>
    <s v="10105"/>
    <s v="284376"/>
  </r>
  <r>
    <s v="Issaquah City Hall"/>
    <n v="220"/>
    <m/>
    <s v="Issaquah City Hall"/>
    <s v="130 E Sunset Way"/>
    <s v="Issaquah"/>
    <n v="98027"/>
    <s v="August 2017"/>
    <n v="4"/>
    <x v="8"/>
    <n v="8"/>
    <n v="5"/>
    <m/>
    <s v="medium"/>
    <m/>
    <n v="47.530273000000001"/>
    <n v="-122.03460200000001"/>
    <s v="Issaquah City Hall (220)"/>
    <s v="10100"/>
    <s v="284378"/>
  </r>
  <r>
    <s v="Kenmore City Hall"/>
    <n v="230"/>
    <m/>
    <s v="Kenmore City Hall"/>
    <s v="18120 68th Ave NE"/>
    <s v="Kenmore"/>
    <n v="98028"/>
    <s v="August 2017"/>
    <n v="4"/>
    <x v="7"/>
    <n v="1"/>
    <n v="46"/>
    <m/>
    <s v="medium"/>
    <m/>
    <n v="47.760387000000001"/>
    <n v="-122.249449"/>
    <s v="Kenmore City Hall (230)"/>
    <n v="10102"/>
    <s v="284374"/>
  </r>
  <r>
    <s v="Kentridge High School - Removed / no longer active"/>
    <n v="240"/>
    <m/>
    <s v="Kentridge High School"/>
    <s v="12430 SE 208th St"/>
    <s v="Kent"/>
    <n v="98031"/>
    <s v="November 2016"/>
    <n v="4"/>
    <x v="9"/>
    <n v="9"/>
    <n v="47"/>
    <m/>
    <s v="small"/>
    <m/>
    <n v="47.416257799999997"/>
    <n v="-122.1706624"/>
    <m/>
    <m/>
    <m/>
  </r>
  <r>
    <s v="Kent Panther Lake Library"/>
    <n v="233"/>
    <m/>
    <s v="Kent Panther Lake Library"/>
    <s v="20500 108th Ave SE"/>
    <s v="Kent"/>
    <n v="98031"/>
    <s v="August 2021"/>
    <m/>
    <x v="2"/>
    <m/>
    <m/>
    <m/>
    <m/>
    <m/>
    <n v="47.418185000000001"/>
    <n v="-122.19676"/>
    <s v="Kent Panther Lake Library (233)"/>
    <s v="10030"/>
    <s v="245984"/>
  </r>
  <r>
    <s v="Kent YMCA"/>
    <n v="235"/>
    <m/>
    <s v="Kent YMCA"/>
    <s v="10828 SE 248th St"/>
    <s v="Kent"/>
    <n v="98030"/>
    <s v="November 2019"/>
    <n v="4"/>
    <x v="2"/>
    <n v="8"/>
    <n v="47"/>
    <m/>
    <m/>
    <m/>
    <n v="47.379795000000001"/>
    <n v="-122.196093"/>
    <s v="Kent YMCA (235)"/>
    <s v="10148"/>
    <s v="284391"/>
  </r>
  <r>
    <s v="King County Administration Building"/>
    <n v="250"/>
    <m/>
    <s v="King County Administration Building"/>
    <s v="500 4th Ave"/>
    <s v="Seattle"/>
    <n v="98104"/>
    <s v="August 2008"/>
    <n v="1"/>
    <x v="0"/>
    <n v="7"/>
    <n v="37"/>
    <m/>
    <s v="medium"/>
    <m/>
    <n v="47.602870000000003"/>
    <n v="-122.32969900000001"/>
    <s v="King County Administration Building (250)"/>
    <n v="10104"/>
    <n v="284381"/>
  </r>
  <r>
    <s v="King County Elections"/>
    <n v="260"/>
    <m/>
    <s v="King County Elections"/>
    <s v="919 SW Grady Way"/>
    <s v="Renton"/>
    <n v="98057"/>
    <s v="August 2016"/>
    <n v="1"/>
    <x v="2"/>
    <n v="9"/>
    <n v="11"/>
    <s v="yes"/>
    <s v="medium"/>
    <s v="gray"/>
    <n v="47.468201000000001"/>
    <n v="-122.2311"/>
    <s v="King County Elections (260)"/>
    <n v="10112"/>
    <n v="284334"/>
  </r>
  <r>
    <s v="Kingsgate Library"/>
    <n v="270"/>
    <m/>
    <s v="Kingsgate Library"/>
    <s v="12315 NE 143rd St"/>
    <s v="Kirkland"/>
    <n v="98034"/>
    <s v="November 2016"/>
    <n v="4"/>
    <x v="5"/>
    <n v="1"/>
    <n v="45"/>
    <m/>
    <s v="small"/>
    <m/>
    <n v="47.729672000000001"/>
    <n v="-122.176588"/>
    <s v="Kingsgate Library (270)"/>
    <n v="10029"/>
    <s v="245995"/>
  </r>
  <r>
    <s v="Kirkland City Hall"/>
    <n v="280"/>
    <m/>
    <s v="Kirkland City Hall"/>
    <s v="123 5th Ave"/>
    <s v="Kirkland"/>
    <n v="98033"/>
    <s v="August 2016"/>
    <n v="4"/>
    <x v="5"/>
    <n v="1"/>
    <n v="45"/>
    <m/>
    <s v="medium"/>
    <m/>
    <n v="47.677925000000002"/>
    <n v="-122.206913"/>
    <s v="Kirkland City Hall (280)"/>
    <n v="10007"/>
    <s v="284355"/>
  </r>
  <r>
    <s v="Lake City Library"/>
    <n v="290"/>
    <m/>
    <s v="Lake City Library"/>
    <s v="12501 28th Ave NE"/>
    <s v="Seattle"/>
    <n v="98125"/>
    <s v="August 2016"/>
    <n v="1"/>
    <x v="7"/>
    <n v="7"/>
    <n v="46"/>
    <m/>
    <s v="medium"/>
    <m/>
    <n v="47.720063000000003"/>
    <n v="-122.29783399999999"/>
    <s v="Lake City Library (290)"/>
    <n v="10015"/>
    <s v="284338"/>
  </r>
  <r>
    <s v="Lake Forest Park City Hall"/>
    <n v="300"/>
    <m/>
    <s v="Lake Forest Park City Hall"/>
    <s v="17425 Ballinger Way NE"/>
    <s v="Lake Forest Park"/>
    <n v="98155"/>
    <s v="November 2016"/>
    <n v="2"/>
    <x v="7"/>
    <n v="7"/>
    <n v="46"/>
    <m/>
    <s v="medium"/>
    <m/>
    <n v="47.753813000000001"/>
    <n v="-122.277738"/>
    <s v="Lake Forest Park City Hall (300)"/>
    <n v="10002"/>
    <s v="284341"/>
  </r>
  <r>
    <s v="Magnolia Park"/>
    <n v="310"/>
    <m/>
    <s v="Magnolia Park"/>
    <s v="1461 Magnolia Blvd W"/>
    <s v="Seattle"/>
    <n v="98199"/>
    <s v="August 2017"/>
    <n v="4"/>
    <x v="3"/>
    <n v="7"/>
    <n v="36"/>
    <s v="yes"/>
    <s v="medium"/>
    <s v="gray"/>
    <n v="47.634751600000001"/>
    <n v="-122.39784899999999"/>
    <s v="Magnolia Park (310)"/>
    <s v="10106"/>
    <s v="284336"/>
  </r>
  <r>
    <s v="Magnuson Park - The Brig"/>
    <n v="305"/>
    <m/>
    <s v="Magnuson Park"/>
    <s v="6344 NE 74th St"/>
    <s v="Seattle"/>
    <n v="98115"/>
    <s v="November 2018"/>
    <n v="4"/>
    <x v="7"/>
    <n v="7"/>
    <n v="46"/>
    <s v="yes"/>
    <s v="small"/>
    <s v="gray"/>
    <n v="47.682721000000001"/>
    <n v="-122.260199"/>
    <s v="Magnuson Park (305)"/>
    <s v="10156"/>
    <s v="284395"/>
  </r>
  <r>
    <s v="Mercer Island Community &amp; Event Center"/>
    <n v="320"/>
    <m/>
    <s v="Mercer Island Community &amp; Event Center"/>
    <s v="8236 SE 24th St"/>
    <s v="Mercer Island"/>
    <n v="98040"/>
    <s v="August 2017"/>
    <n v="4"/>
    <x v="5"/>
    <n v="9"/>
    <n v="41"/>
    <m/>
    <s v="small"/>
    <m/>
    <n v="47.589253999999997"/>
    <n v="-122.22812500000001"/>
    <s v="Mercer Island Community &amp; Event Center (320)"/>
    <n v="10101"/>
    <n v="284358"/>
  </r>
  <r>
    <s v="Muckleshoot Tribe - Philip Starr Building"/>
    <n v="330"/>
    <m/>
    <s v="Muckleshoot Tribe, Philip Starr Building"/>
    <s v="39015 172nd Ave SE"/>
    <s v="Auburn"/>
    <n v="98092"/>
    <s v="November 2016"/>
    <n v="4"/>
    <x v="1"/>
    <n v="8"/>
    <n v="31"/>
    <m/>
    <s v="medium"/>
    <m/>
    <n v="47.250943999999997"/>
    <n v="-122.11497199999999"/>
    <s v="Muckleshoot Tribe, Philip Starr Building (330)"/>
    <s v="10037"/>
    <s v="284350"/>
  </r>
  <r>
    <s v="Newcastle City Hall"/>
    <n v="340"/>
    <m/>
    <s v="Newcastle City Hall"/>
    <s v="12835 Newcastle Way"/>
    <s v="Newcastle"/>
    <n v="98056"/>
    <s v="November 2017"/>
    <n v="4"/>
    <x v="6"/>
    <n v="9"/>
    <n v="41"/>
    <m/>
    <s v="medium"/>
    <m/>
    <n v="47.538425799999999"/>
    <n v="-122.1687127"/>
    <s v="Newcastle City Hall (340)"/>
    <n v="10107"/>
    <n v="284333"/>
  </r>
  <r>
    <s v="NewHolly Neighborhood Campus"/>
    <n v="350"/>
    <m/>
    <s v="NewHolly Neighborhood Campus"/>
    <s v="7054 32nd Ave S"/>
    <s v="Seattle"/>
    <n v="98118"/>
    <s v="August 2016"/>
    <n v="4"/>
    <x v="4"/>
    <n v="9"/>
    <n v="37"/>
    <m/>
    <s v="medium"/>
    <m/>
    <n v="47.539313"/>
    <n v="-122.290171"/>
    <s v="NewHolly Neighborhood Campus (350)"/>
    <s v="2020-50-014"/>
    <s v="284418"/>
  </r>
  <r>
    <s v="Newport Way Library"/>
    <n v="353"/>
    <m/>
    <s v="Newport Way Library"/>
    <s v="14250 SE Newport Way"/>
    <s v="Bellevue"/>
    <n v="98006"/>
    <s v="August 2018"/>
    <n v="4"/>
    <x v="5"/>
    <n v="9"/>
    <n v="41"/>
    <m/>
    <s v="small"/>
    <m/>
    <n v="47.570538999999997"/>
    <n v="-122.148679"/>
    <s v="Newport Way Library (353)"/>
    <n v="10150"/>
    <n v="284389"/>
  </r>
  <r>
    <s v="Normandy Park Towne Center"/>
    <n v="355"/>
    <m/>
    <s v="Normandy Park"/>
    <s v="19901 1st Ave S"/>
    <s v="Normandy Park"/>
    <n v="98148"/>
    <s v="August 2018"/>
    <n v="4"/>
    <x v="2"/>
    <n v="7"/>
    <n v="33"/>
    <m/>
    <s v="small"/>
    <m/>
    <n v="47.423994999999998"/>
    <n v="-122.336956"/>
    <s v="Normandy Park (355)"/>
    <s v="Xxxx"/>
    <s v="284393"/>
  </r>
  <r>
    <s v="North Bend Library"/>
    <n v="357"/>
    <m/>
    <s v="North Bend Library"/>
    <s v="115 E 4th St"/>
    <s v="North Bend"/>
    <n v="98045"/>
    <s v="August 2018"/>
    <n v="4"/>
    <x v="8"/>
    <n v="8"/>
    <n v="5"/>
    <m/>
    <s v="small"/>
    <m/>
    <n v="47.496782000000003"/>
    <n v="-121.783107"/>
    <s v="North Bend Library (357)"/>
    <s v="101151"/>
    <s v="284383"/>
  </r>
  <r>
    <s v="North Seattle College"/>
    <n v="360"/>
    <s v="(south visitor lot access from N 95th St)"/>
    <s v="North Seattle College "/>
    <s v="9600 College Way N"/>
    <s v="Seattle"/>
    <n v="98103"/>
    <s v="August 2017"/>
    <n v="4"/>
    <x v="3"/>
    <n v="7"/>
    <n v="46"/>
    <m/>
    <s v="medium"/>
    <m/>
    <n v="47.698106299999999"/>
    <n v="-122.3343388"/>
    <s v="North Seattle College  (360)"/>
    <s v="10111"/>
    <s v="284379"/>
  </r>
  <r>
    <s v="Powell Avenue"/>
    <n v="265"/>
    <m/>
    <s v="Powell Avenue Box"/>
    <s v="725 Powell Ave SW"/>
    <s v="Renton"/>
    <n v="98057"/>
    <s v="November 2020"/>
    <m/>
    <x v="2"/>
    <m/>
    <m/>
    <s v="yes"/>
    <m/>
    <m/>
    <n v="47.472475000000003"/>
    <n v="-122.231602"/>
    <s v="Powell Avenue Box (265)"/>
    <s v="2020-05-015"/>
    <s v="284419"/>
  </r>
  <r>
    <s v="Rainier Beach Community Center"/>
    <n v="370"/>
    <m/>
    <s v="Rainier Beach Community Center"/>
    <s v="8825 Rainier Ave S"/>
    <s v="Seattle"/>
    <n v="98118"/>
    <s v="August 2017"/>
    <n v="4"/>
    <x v="4"/>
    <n v="9"/>
    <n v="37"/>
    <m/>
    <s v="medium"/>
    <m/>
    <n v="47.524889000000002"/>
    <n v="-122.270284"/>
    <s v="Rainier Beach Community Center (370)"/>
    <s v="10110"/>
    <s v="284332"/>
  </r>
  <r>
    <s v="Rainier Community Center"/>
    <n v="380"/>
    <m/>
    <s v="Rainier Community Center"/>
    <s v="4600 38th Ave S"/>
    <s v="Seattle"/>
    <n v="98118"/>
    <s v="November 2016"/>
    <n v="4"/>
    <x v="4"/>
    <n v="9"/>
    <n v="37"/>
    <m/>
    <s v="medium"/>
    <m/>
    <n v="47.561540999999998"/>
    <n v="-122.28479900000001"/>
    <s v="Rainier Community Center (380)"/>
    <s v="10023"/>
    <s v="284351"/>
  </r>
  <r>
    <s v="Redmond City Hall"/>
    <n v="390"/>
    <m/>
    <s v="Redmond City Hall"/>
    <s v="15670 NE 85th St"/>
    <s v="Redmond"/>
    <n v="98052"/>
    <s v="November 2016"/>
    <n v="1"/>
    <x v="8"/>
    <n v="1"/>
    <n v="48"/>
    <s v="yes"/>
    <s v="medium"/>
    <s v="gray"/>
    <n v="47.679039400000001"/>
    <n v="-122.13023010000001"/>
    <s v="Redmond City Hall (390)"/>
    <n v="10024"/>
    <s v="284354"/>
  </r>
  <r>
    <s v="Redmond Community Center at Marymoor Village"/>
    <n v="395"/>
    <m/>
    <s v="Redmond Community Center"/>
    <s v="6505 176th Ave NE"/>
    <s v="Redmond"/>
    <n v="98052"/>
    <s v="November 2018"/>
    <n v="4"/>
    <x v="8"/>
    <n v="1"/>
    <n v="48"/>
    <s v="yes"/>
    <s v="small"/>
    <s v="gray"/>
    <n v="47.664577999999999"/>
    <n v="-122.10668800000001"/>
    <s v="Redmond Community Center (395)"/>
    <s v="10146"/>
    <s v="284387"/>
  </r>
  <r>
    <s v="Regional Justice Center"/>
    <n v="400"/>
    <s v="(near parking garage entrance)"/>
    <s v="Regional Justice Center"/>
    <s v="401 4th Ave N"/>
    <s v="Kent"/>
    <n v="98032"/>
    <s v="November 2016"/>
    <n v="4"/>
    <x v="2"/>
    <n v="9"/>
    <n v="33"/>
    <m/>
    <s v="medium"/>
    <m/>
    <n v="47.385257000000003"/>
    <n v="-122.239009"/>
    <s v="Regional Justice Center (400)"/>
    <s v="10020"/>
    <s v="245989"/>
  </r>
  <r>
    <s v="Renton Public Health Center"/>
    <n v="410"/>
    <m/>
    <s v="Renton Public Health Center"/>
    <s v="3201 NE 7th St"/>
    <s v="Renton"/>
    <n v="98056"/>
    <s v="November 2016"/>
    <n v="4"/>
    <x v="6"/>
    <n v="9"/>
    <n v="11"/>
    <s v="yes"/>
    <s v="small"/>
    <s v="gray"/>
    <n v="47.494851799999999"/>
    <n v="-122.1753411"/>
    <s v="Renton Public Health Center (410)"/>
    <n v="10027"/>
    <n v="245993"/>
  </r>
  <r>
    <s v="Sammamish City Hall"/>
    <n v="420"/>
    <m/>
    <s v="Sammamish City Hall"/>
    <s v="801 228th Ave SE"/>
    <s v="Sammamish"/>
    <n v="98075"/>
    <s v="August 2016"/>
    <n v="2"/>
    <x v="8"/>
    <n v="8"/>
    <n v="41"/>
    <m/>
    <s v="medium"/>
    <m/>
    <n v="47.601314899999998"/>
    <n v="-122.03618179999999"/>
    <s v="Sammamish City Hall (420)"/>
    <s v="0123028-001"/>
    <s v="245978"/>
  </r>
  <r>
    <s v="Seattle Central College Broadway-Edison Building"/>
    <n v="430"/>
    <s v="(northeast corner)"/>
    <s v="Seattle Central College"/>
    <s v="1701 Broadway"/>
    <s v="Seattle"/>
    <n v="98122"/>
    <s v="November 2016"/>
    <n v="1"/>
    <x v="0"/>
    <n v="7"/>
    <n v="43"/>
    <m/>
    <s v="medium"/>
    <m/>
    <n v="47.617458999999997"/>
    <n v="-122.32101400000001"/>
    <s v="Seattle Central College (430)"/>
    <s v="10034"/>
    <s v="245986"/>
  </r>
  <r>
    <s v="Seattle Pacific University Bookstore"/>
    <n v="435"/>
    <m/>
    <s v="Seattle Pacific University  "/>
    <s v="310 W Bertona St"/>
    <s v="Seattle"/>
    <n v="98119"/>
    <s v="August 2018"/>
    <n v="4"/>
    <x v="3"/>
    <n v="7"/>
    <n v="36"/>
    <s v="yes"/>
    <s v="small"/>
    <s v="gray"/>
    <n v="47.650731999999998"/>
    <n v="-122.361565"/>
    <s v="Seattle Pacific University   (435)"/>
    <s v="10145"/>
    <s v="284388"/>
  </r>
  <r>
    <s v="Shoreline Library"/>
    <n v="440"/>
    <m/>
    <s v="Shoreline Library"/>
    <s v="345 NE 175th St"/>
    <s v="Shoreline"/>
    <n v="98155"/>
    <s v="August 2016"/>
    <n v="2"/>
    <x v="7"/>
    <n v="7"/>
    <n v="32"/>
    <m/>
    <s v="medium"/>
    <m/>
    <n v="47.755417799999996"/>
    <n v="-122.3250106"/>
    <s v="Shoreline Library (440)"/>
    <s v="10016"/>
    <s v="284339"/>
  </r>
  <r>
    <s v="Shoreline Park &amp; Ride"/>
    <n v="445"/>
    <m/>
    <s v="Shoreline Park &amp; Ride"/>
    <s v="18821 Aurora Ave N"/>
    <s v="Shoreline"/>
    <n v="98133"/>
    <s v="November 2018"/>
    <n v="4"/>
    <x v="7"/>
    <n v="7"/>
    <n v="32"/>
    <m/>
    <s v="medium"/>
    <m/>
    <n v="47.767488"/>
    <n v="-122.346688"/>
    <s v="Shoreline Park &amp; Ride (445)"/>
    <s v="10147"/>
    <s v="284359"/>
  </r>
  <r>
    <s v="Skyway Library"/>
    <n v="450"/>
    <m/>
    <s v="Skyway Library"/>
    <s v="12601 76th Ave S"/>
    <s v="Seattle"/>
    <n v="98178"/>
    <s v="August 2016"/>
    <n v="4"/>
    <x v="4"/>
    <n v="9"/>
    <n v="37"/>
    <m/>
    <s v="medium"/>
    <m/>
    <n v="47.490746000000001"/>
    <n v="-122.23852100000001"/>
    <s v="Skyway Library (450)"/>
    <s v="10012"/>
    <s v="284337"/>
  </r>
  <r>
    <s v="Snoqualmie Library"/>
    <n v="460"/>
    <m/>
    <s v="Snoqualmie Library"/>
    <s v="7824 Center Blvd SE"/>
    <s v="Snoqualmie"/>
    <n v="98065"/>
    <s v="November 2016"/>
    <n v="4"/>
    <x v="8"/>
    <n v="8"/>
    <n v="5"/>
    <m/>
    <s v="medium"/>
    <m/>
    <n v="47.529896399999998"/>
    <n v="-121.8724101"/>
    <s v="Snoqualmie Library (460)"/>
    <s v="10033"/>
    <s v="284349"/>
  </r>
  <r>
    <s v="South Lake Union"/>
    <n v="465"/>
    <m/>
    <s v="South Lake Union"/>
    <s v="310 Terry Ave N"/>
    <s v="Seattle"/>
    <n v="98109"/>
    <s v="November 2017"/>
    <n v="4"/>
    <x v="3"/>
    <n v="7"/>
    <n v="43"/>
    <m/>
    <s v="medium?"/>
    <m/>
    <n v="47.621350999999997"/>
    <n v="-122.337096"/>
    <s v="South Lake Union (465)"/>
    <s v="10108"/>
    <s v="284375"/>
  </r>
  <r>
    <s v="South Park Library"/>
    <n v="470"/>
    <m/>
    <s v="South Park Library"/>
    <s v="8604 8th Ave S"/>
    <s v="Seattle"/>
    <n v="98108"/>
    <s v="November 2016"/>
    <n v="4"/>
    <x v="0"/>
    <n v="9"/>
    <n v="11"/>
    <m/>
    <s v="medium"/>
    <m/>
    <n v="47.526183000000003"/>
    <n v="-122.322811"/>
    <s v="South Park Library (470)"/>
    <s v="10028"/>
    <s v="245994"/>
  </r>
  <r>
    <s v="South Seattle College"/>
    <n v="475"/>
    <s v="(at the entrance of the Robert Smith Building)"/>
    <s v="South Seattle College"/>
    <s v="6000 16th Ave SW"/>
    <s v="Seattle"/>
    <n v="98106"/>
    <s v="November 2020"/>
    <n v="4"/>
    <x v="0"/>
    <n v="7"/>
    <n v="34"/>
    <m/>
    <m/>
    <m/>
    <n v="47.547729199999999"/>
    <n v="-122.3538902"/>
    <s v="South Seattle College (475)"/>
    <n v="10155"/>
    <n v="284394"/>
  </r>
  <r>
    <s v="Tahoma School District Building"/>
    <n v="480"/>
    <m/>
    <s v="Tahoma School District Building"/>
    <s v="25720 Maple Valley-Black Diamond Rd SE"/>
    <s v="Maple Valley"/>
    <n v="98038"/>
    <s v="August 2016"/>
    <n v="4"/>
    <x v="6"/>
    <n v="8"/>
    <n v="5"/>
    <s v="yes"/>
    <s v="small"/>
    <s v="gray"/>
    <n v="47.371355000000001"/>
    <n v="-122.02169000000001"/>
    <s v="Tahoma School District Building (480)"/>
    <s v="10013"/>
    <s v="284362"/>
  </r>
  <r>
    <s v="Tukwila Community Center"/>
    <n v="490"/>
    <m/>
    <s v="Tukwila Community Center"/>
    <s v="12424 42nd Ave S"/>
    <s v="Tukwila"/>
    <n v="98168"/>
    <s v="August 2017"/>
    <n v="4"/>
    <x v="0"/>
    <n v="9"/>
    <n v="11"/>
    <s v="yes"/>
    <s v="medium"/>
    <m/>
    <n v="47.491522000000003"/>
    <n v="-122.278194"/>
    <s v="Tukwila Community Center (490)"/>
    <s v="10103"/>
    <s v="284357"/>
  </r>
  <r>
    <s v="University of Washington - Bothell Campus"/>
    <n v="495"/>
    <m/>
    <s v="University of Washington Bothell"/>
    <s v="18220 Campus Way NE"/>
    <s v="Bothell"/>
    <n v="98011"/>
    <s v="November 2021"/>
    <m/>
    <x v="7"/>
    <m/>
    <m/>
    <m/>
    <m/>
    <m/>
    <n v="47.759979999999999"/>
    <n v="-122.19056"/>
    <s v="University of Washington Bothell (495)"/>
    <m/>
    <m/>
  </r>
  <r>
    <s v="University of Washington Campus Schmitz Hall"/>
    <n v="500"/>
    <s v="(by north entrance on NE 41st St)"/>
    <s v="University of Washington Campus"/>
    <s v="1410 NE Campus Pkwy"/>
    <s v="Seattle"/>
    <n v="98195"/>
    <s v="August 2016"/>
    <n v="1"/>
    <x v="4"/>
    <n v="7"/>
    <n v="43"/>
    <m/>
    <s v="medium"/>
    <m/>
    <n v="47.656770999999999"/>
    <n v="-122.312653"/>
    <s v="University of Washington Campus (500)"/>
    <s v="10001"/>
    <s v="284340"/>
  </r>
  <r>
    <s v="Valley View Library"/>
    <n v="510"/>
    <m/>
    <s v="Valley View Library"/>
    <s v="17850 Military Rd S"/>
    <s v="SeaTac"/>
    <n v="98188"/>
    <s v="August 2016"/>
    <n v="4"/>
    <x v="2"/>
    <n v="9"/>
    <n v="33"/>
    <m/>
    <s v="medium"/>
    <m/>
    <n v="47.443102799999998"/>
    <n v="-122.2736096"/>
    <s v="Valley View Library (510)"/>
    <s v="0123027-002"/>
    <s v="245979"/>
  </r>
  <r>
    <s v="Vashon Library"/>
    <n v="520"/>
    <m/>
    <s v="Vashon Library"/>
    <s v="17210 Vashon Hwy SW"/>
    <s v="Vashon"/>
    <n v="98070"/>
    <s v="August 2016"/>
    <n v="4"/>
    <x v="0"/>
    <n v="7"/>
    <n v="34"/>
    <m/>
    <s v="medium"/>
    <m/>
    <n v="47.450772200000003"/>
    <n v="-122.4597488"/>
    <s v="Vashon Library (520)"/>
    <s v="10011"/>
    <s v="284348"/>
  </r>
  <r>
    <s v="Waterway 19 Park"/>
    <n v="527"/>
    <s v="(next to Gas Works Park)"/>
    <s v="Waterway 19 Park"/>
    <s v="2119 N Northlake Way"/>
    <s v="Seattle"/>
    <n v="98103"/>
    <s v="November 2018"/>
    <n v="4"/>
    <x v="3"/>
    <n v="7"/>
    <n v="43"/>
    <m/>
    <s v="small"/>
    <m/>
    <n v="47.646852000000003"/>
    <n v="-122.333499"/>
    <s v="Waterway 19 Park (527)"/>
    <s v="10149"/>
    <s v="284390"/>
  </r>
  <r>
    <s v="White Center Library"/>
    <n v="530"/>
    <m/>
    <s v="White Center Library"/>
    <s v="1409 SW 107th St"/>
    <s v="Seattle"/>
    <n v="98146"/>
    <s v="August 2016"/>
    <n v="4"/>
    <x v="0"/>
    <n v="7"/>
    <n v="34"/>
    <m/>
    <s v="medium"/>
    <m/>
    <n v="47.506755099999999"/>
    <n v="-122.353182"/>
    <s v="White Center Library (530)"/>
    <s v="10003"/>
    <s v="284346"/>
  </r>
  <r>
    <s v="Woodinville Library"/>
    <n v="540"/>
    <m/>
    <s v="Woodinville Library"/>
    <s v="17105 Avondale Rd NE"/>
    <s v="Woodinville"/>
    <n v="98072"/>
    <s v="August 2016"/>
    <n v="4"/>
    <x v="8"/>
    <n v="1"/>
    <n v="45"/>
    <m/>
    <s v="medium"/>
    <m/>
    <n v="47.751809000000002"/>
    <n v="-122.08197699999999"/>
    <s v="Woodinville Library (540)"/>
    <n v="10004"/>
    <s v="2843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/>
  <pivotFields count="20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1">
        <item x="7"/>
        <item x="4"/>
        <item x="8"/>
        <item x="3"/>
        <item x="2"/>
        <item x="5"/>
        <item x="1"/>
        <item x="0"/>
        <item x="6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KCCD" fld="9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V86" totalsRowShown="0" headerRowDxfId="30" dataDxfId="29">
  <autoFilter ref="B1:V86" xr:uid="{00000000-0009-0000-0100-000001000000}"/>
  <sortState xmlns:xlrd2="http://schemas.microsoft.com/office/spreadsheetml/2017/richdata2" ref="B2:V86">
    <sortCondition ref="G1:G86"/>
  </sortState>
  <tableColumns count="21">
    <tableColumn id="1" xr3:uid="{00000000-0010-0000-0000-000001000000}" name="Name" dataDxfId="28"/>
    <tableColumn id="5" xr3:uid="{00000000-0010-0000-0000-000005000000}" name="Pitney Bowes Code" dataDxfId="27"/>
    <tableColumn id="14" xr3:uid="{00000000-0010-0000-0000-00000E000000}" name="Additional location descriptor (if any)_x000a_This field goes in the Special Instruction field in VoteWA" dataDxfId="26"/>
    <tableColumn id="15" xr3:uid="{00000000-0010-0000-0000-00000F000000}" name="Abbreviated name" dataDxfId="25"/>
    <tableColumn id="2" xr3:uid="{00000000-0010-0000-0000-000002000000}" name="Address" dataDxfId="24"/>
    <tableColumn id="3" xr3:uid="{00000000-0010-0000-0000-000003000000}" name="City" dataDxfId="23"/>
    <tableColumn id="4" xr3:uid="{00000000-0010-0000-0000-000004000000}" name="Zip" dataDxfId="22"/>
    <tableColumn id="18" xr3:uid="{00000000-0010-0000-0000-000012000000}" name="First Election" dataDxfId="21"/>
    <tableColumn id="11" xr3:uid="{5F5DE01B-2808-4C7E-BAE7-0B4EF4A7429E}" name="Date Moved_x000a_(if applicable)" dataDxfId="20"/>
    <tableColumn id="6" xr3:uid="{00000000-0010-0000-0000-000006000000}" name="Tier" dataDxfId="19"/>
    <tableColumn id="7" xr3:uid="{00000000-0010-0000-0000-000007000000}" name="KCCD" dataDxfId="18"/>
    <tableColumn id="8" xr3:uid="{00000000-0010-0000-0000-000008000000}" name="Cong" dataDxfId="17"/>
    <tableColumn id="9" xr3:uid="{00000000-0010-0000-0000-000009000000}" name="Leg" dataDxfId="16"/>
    <tableColumn id="17" xr3:uid="{00000000-0010-0000-0000-000011000000}" name="Drive-up location?" dataDxfId="15"/>
    <tableColumn id="10" xr3:uid="{00000000-0010-0000-0000-00000A000000}" name="Ramp size" dataDxfId="14"/>
    <tableColumn id="12" xr3:uid="{00000000-0010-0000-0000-00000C000000}" name="Receptacle" dataDxfId="13"/>
    <tableColumn id="13" xr3:uid="{00000000-0010-0000-0000-00000D000000}" name="Lat" dataDxfId="12"/>
    <tableColumn id="21" xr3:uid="{C37DFF07-453B-4BE0-B419-07DE061318C5}" name="Long" dataDxfId="11"/>
    <tableColumn id="16" xr3:uid="{00000000-0010-0000-0000-000010000000}" name="Abbreviated name and Pitney Bowes Code" dataDxfId="10">
      <calculatedColumnFormula>Table1[[#This Row],[Abbreviated name]]&amp;" ("&amp;Table1[[#This Row],[Pitney Bowes Code]]&amp;")"</calculatedColumnFormula>
    </tableColumn>
    <tableColumn id="19" xr3:uid="{00000000-0010-0000-0000-000013000000}" name="Serial Number" dataDxfId="9"/>
    <tableColumn id="20" xr3:uid="{00000000-0010-0000-0000-000014000000}" name="King County Asset Number" dataDxfId="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CEB15D-15E4-4422-A8F8-4783273D0D59}" name="Table3" displayName="Table3" ref="A1:C80" totalsRowShown="0" headerRowDxfId="7" dataDxfId="5" headerRowBorderDxfId="6" tableBorderDxfId="4" totalsRowBorderDxfId="3">
  <autoFilter ref="A1:C80" xr:uid="{82CEB15D-15E4-4422-A8F8-4783273D0D59}"/>
  <tableColumns count="3">
    <tableColumn id="1" xr3:uid="{46E34D89-FAE5-4B0A-BAE9-0ED4A17F3CF6}" name="DROP BOX LOCATION" dataDxfId="2"/>
    <tableColumn id="2" xr3:uid="{12587E62-E39D-44DC-A3F0-67E5F761A6FE}" name="DBC" dataDxfId="1"/>
    <tableColumn id="3" xr3:uid="{01E27669-A277-4658-9B33-5D7320910116}" name="Sig Challenge?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D109"/>
  <sheetViews>
    <sheetView tabSelected="1" zoomScale="74" zoomScaleNormal="110" workbookViewId="0">
      <pane xSplit="2" ySplit="1" topLeftCell="C67" activePane="bottomRight" state="frozen"/>
      <selection pane="topRight" activeCell="B1" sqref="B1"/>
      <selection pane="bottomLeft" activeCell="A2" sqref="A2"/>
      <selection pane="bottomRight" activeCell="B76" sqref="B76"/>
    </sheetView>
  </sheetViews>
  <sheetFormatPr defaultColWidth="9.1796875" defaultRowHeight="14.5" x14ac:dyDescent="0.35"/>
  <cols>
    <col min="1" max="1" width="9.1796875" style="1"/>
    <col min="2" max="2" width="35.7265625" style="28" customWidth="1"/>
    <col min="3" max="3" width="8.26953125" style="1" customWidth="1"/>
    <col min="4" max="4" width="47.54296875" style="1" bestFit="1" customWidth="1"/>
    <col min="5" max="5" width="27.54296875" style="1" hidden="1" customWidth="1"/>
    <col min="6" max="6" width="40.81640625" style="1" customWidth="1"/>
    <col min="7" max="7" width="14.453125" style="1" customWidth="1"/>
    <col min="8" max="8" width="6.54296875" style="1" customWidth="1"/>
    <col min="9" max="10" width="15.26953125" customWidth="1"/>
    <col min="11" max="11" width="15.453125" style="12" customWidth="1"/>
    <col min="12" max="12" width="7.1796875" style="2" customWidth="1"/>
    <col min="13" max="13" width="8.453125" style="1" customWidth="1"/>
    <col min="14" max="14" width="8.1796875" style="1" customWidth="1"/>
    <col min="15" max="15" width="6.7265625" style="1" customWidth="1"/>
    <col min="16" max="16" width="20.26953125" style="1" customWidth="1"/>
    <col min="17" max="17" width="12.7265625" style="1" customWidth="1"/>
    <col min="18" max="18" width="13.54296875" style="1" customWidth="1"/>
    <col min="19" max="19" width="25.453125" style="1" customWidth="1"/>
    <col min="20" max="20" width="43.26953125" style="1" customWidth="1"/>
    <col min="21" max="21" width="43.453125" style="1" customWidth="1"/>
    <col min="22" max="22" width="16.54296875" style="24" customWidth="1"/>
    <col min="23" max="23" width="27.81640625" style="24" bestFit="1" customWidth="1"/>
    <col min="24" max="16384" width="9.1796875" style="1"/>
  </cols>
  <sheetData>
    <row r="1" spans="1:23" ht="29" x14ac:dyDescent="0.35">
      <c r="B1" s="28" t="s">
        <v>0</v>
      </c>
      <c r="C1" s="2" t="s">
        <v>73</v>
      </c>
      <c r="D1" s="43" t="s">
        <v>373</v>
      </c>
      <c r="E1" s="1" t="s">
        <v>175</v>
      </c>
      <c r="F1" s="1" t="s">
        <v>1</v>
      </c>
      <c r="G1" s="1" t="s">
        <v>71</v>
      </c>
      <c r="H1" s="1" t="s">
        <v>72</v>
      </c>
      <c r="I1" s="12" t="s">
        <v>190</v>
      </c>
      <c r="J1" s="65" t="s">
        <v>448</v>
      </c>
      <c r="K1" s="1" t="s">
        <v>76</v>
      </c>
      <c r="L1" s="1" t="s">
        <v>127</v>
      </c>
      <c r="M1" s="1" t="s">
        <v>128</v>
      </c>
      <c r="N1" s="1" t="s">
        <v>129</v>
      </c>
      <c r="O1" s="1" t="s">
        <v>178</v>
      </c>
      <c r="P1" s="1" t="s">
        <v>130</v>
      </c>
      <c r="Q1" s="1" t="s">
        <v>131</v>
      </c>
      <c r="R1" s="1" t="s">
        <v>342</v>
      </c>
      <c r="S1" s="1" t="s">
        <v>343</v>
      </c>
      <c r="T1" s="1" t="s">
        <v>176</v>
      </c>
      <c r="U1" s="24" t="s">
        <v>206</v>
      </c>
      <c r="V1" s="24" t="s">
        <v>207</v>
      </c>
      <c r="W1" s="1"/>
    </row>
    <row r="2" spans="1:23" x14ac:dyDescent="0.35">
      <c r="A2" s="1">
        <v>1</v>
      </c>
      <c r="B2" s="28" t="s">
        <v>2</v>
      </c>
      <c r="C2" s="2">
        <v>20</v>
      </c>
      <c r="E2" s="1" t="s">
        <v>2</v>
      </c>
      <c r="F2" s="1" t="s">
        <v>80</v>
      </c>
      <c r="G2" s="1" t="s">
        <v>44</v>
      </c>
      <c r="H2" s="1">
        <v>98002</v>
      </c>
      <c r="I2" s="12" t="s">
        <v>195</v>
      </c>
      <c r="J2" s="12"/>
      <c r="K2" s="1">
        <v>4</v>
      </c>
      <c r="L2" s="68">
        <v>7</v>
      </c>
      <c r="M2" s="1">
        <v>9</v>
      </c>
      <c r="N2" s="1">
        <v>31</v>
      </c>
      <c r="P2" s="1" t="s">
        <v>134</v>
      </c>
      <c r="R2" s="28">
        <v>47.298516599999999</v>
      </c>
      <c r="S2" s="28">
        <v>-122.2176449</v>
      </c>
      <c r="T2" s="1" t="str">
        <f>Table1[[#This Row],[Abbreviated name]]&amp;" ("&amp;"0"&amp;Table1[[#This Row],[Pitney Bowes Code]]&amp;")"</f>
        <v>Auburn Library (020)</v>
      </c>
      <c r="U2" s="25" t="s">
        <v>212</v>
      </c>
      <c r="V2" s="25" t="s">
        <v>213</v>
      </c>
      <c r="W2" s="1"/>
    </row>
    <row r="3" spans="1:23" x14ac:dyDescent="0.35">
      <c r="A3" s="1">
        <v>2</v>
      </c>
      <c r="B3" s="28" t="s">
        <v>158</v>
      </c>
      <c r="C3" s="2">
        <v>25</v>
      </c>
      <c r="E3" s="1" t="s">
        <v>158</v>
      </c>
      <c r="F3" s="1" t="s">
        <v>159</v>
      </c>
      <c r="G3" s="1" t="s">
        <v>44</v>
      </c>
      <c r="H3" s="1">
        <v>98002</v>
      </c>
      <c r="I3" s="12" t="s">
        <v>191</v>
      </c>
      <c r="J3" s="12"/>
      <c r="K3" s="1">
        <v>4</v>
      </c>
      <c r="L3" s="68">
        <v>7</v>
      </c>
      <c r="M3" s="1">
        <v>9</v>
      </c>
      <c r="N3" s="1">
        <v>47</v>
      </c>
      <c r="P3" s="1" t="s">
        <v>132</v>
      </c>
      <c r="R3" s="28">
        <v>47.321171</v>
      </c>
      <c r="S3" s="28">
        <v>-122.226406</v>
      </c>
      <c r="T3" s="1" t="str">
        <f>Table1[[#This Row],[Abbreviated name]]&amp;" ("&amp;"0"&amp;Table1[[#This Row],[Pitney Bowes Code]]&amp;")"</f>
        <v>Auburn Park &amp; Ride (025)</v>
      </c>
      <c r="U3" s="25" t="s">
        <v>214</v>
      </c>
      <c r="V3" s="25" t="s">
        <v>215</v>
      </c>
      <c r="W3" s="1"/>
    </row>
    <row r="4" spans="1:23" x14ac:dyDescent="0.35">
      <c r="A4" s="1">
        <v>3</v>
      </c>
      <c r="B4" s="48" t="s">
        <v>419</v>
      </c>
      <c r="C4" s="46">
        <v>330</v>
      </c>
      <c r="D4" s="14"/>
      <c r="E4" s="14" t="s">
        <v>419</v>
      </c>
      <c r="F4" s="14" t="s">
        <v>420</v>
      </c>
      <c r="G4" s="14" t="s">
        <v>44</v>
      </c>
      <c r="H4" s="14">
        <v>98092</v>
      </c>
      <c r="I4" s="47" t="s">
        <v>192</v>
      </c>
      <c r="J4" s="47" t="s">
        <v>450</v>
      </c>
      <c r="K4" s="14">
        <v>4</v>
      </c>
      <c r="L4" s="68">
        <v>9</v>
      </c>
      <c r="M4" s="14">
        <v>8</v>
      </c>
      <c r="N4" s="14">
        <v>31</v>
      </c>
      <c r="O4" s="14" t="s">
        <v>133</v>
      </c>
      <c r="P4" s="14" t="s">
        <v>134</v>
      </c>
      <c r="Q4" s="14"/>
      <c r="R4" s="14">
        <v>47.250680000000003</v>
      </c>
      <c r="S4" s="14">
        <v>-122.11093</v>
      </c>
      <c r="T4" s="14" t="str">
        <f>Table1[[#This Row],[Abbreviated name]]&amp;" ("&amp;Table1[[#This Row],[Pitney Bowes Code]]&amp;")"</f>
        <v>Muckleshoot Community Center (330)</v>
      </c>
      <c r="U4" s="50" t="s">
        <v>265</v>
      </c>
      <c r="V4" s="50" t="s">
        <v>266</v>
      </c>
      <c r="W4" s="1"/>
    </row>
    <row r="5" spans="1:23" x14ac:dyDescent="0.35">
      <c r="A5" s="1">
        <v>4</v>
      </c>
      <c r="B5" s="28" t="s">
        <v>319</v>
      </c>
      <c r="C5" s="2">
        <v>50</v>
      </c>
      <c r="E5" s="1" t="s">
        <v>319</v>
      </c>
      <c r="F5" s="1" t="s">
        <v>83</v>
      </c>
      <c r="G5" s="1" t="s">
        <v>45</v>
      </c>
      <c r="H5" s="1">
        <v>98004</v>
      </c>
      <c r="I5" s="12" t="s">
        <v>195</v>
      </c>
      <c r="J5" s="12"/>
      <c r="K5" s="1">
        <v>2</v>
      </c>
      <c r="L5" s="68">
        <v>6</v>
      </c>
      <c r="M5" s="1">
        <v>9</v>
      </c>
      <c r="N5" s="1">
        <v>41</v>
      </c>
      <c r="P5" s="1" t="s">
        <v>134</v>
      </c>
      <c r="R5" s="28">
        <v>47.620410999999997</v>
      </c>
      <c r="S5" s="28">
        <v>-122.193866</v>
      </c>
      <c r="T5" s="1" t="str">
        <f>Table1[[#This Row],[Abbreviated name]]&amp;" ("&amp;"0"&amp;Table1[[#This Row],[Pitney Bowes Code]]&amp;")"</f>
        <v>Bellevue Library (050)</v>
      </c>
      <c r="U5" s="25" t="s">
        <v>220</v>
      </c>
      <c r="V5" s="25" t="s">
        <v>221</v>
      </c>
      <c r="W5" s="1"/>
    </row>
    <row r="6" spans="1:23" x14ac:dyDescent="0.35">
      <c r="A6" s="1">
        <v>5</v>
      </c>
      <c r="B6" s="28" t="s">
        <v>357</v>
      </c>
      <c r="C6" s="2">
        <v>120</v>
      </c>
      <c r="D6" s="1" t="s">
        <v>140</v>
      </c>
      <c r="E6" s="1" t="s">
        <v>357</v>
      </c>
      <c r="F6" s="1" t="s">
        <v>88</v>
      </c>
      <c r="G6" s="1" t="s">
        <v>45</v>
      </c>
      <c r="H6" s="1">
        <v>98008</v>
      </c>
      <c r="I6" s="12" t="s">
        <v>196</v>
      </c>
      <c r="J6" s="12"/>
      <c r="K6" s="1">
        <v>1</v>
      </c>
      <c r="L6" s="68">
        <v>6</v>
      </c>
      <c r="M6" s="1">
        <v>9</v>
      </c>
      <c r="N6" s="1">
        <v>48</v>
      </c>
      <c r="P6" s="1" t="s">
        <v>134</v>
      </c>
      <c r="R6" s="28">
        <v>47.617776200000002</v>
      </c>
      <c r="S6" s="28">
        <v>-122.1301479</v>
      </c>
      <c r="T6" s="1" t="str">
        <f>Table1[[#This Row],[Abbreviated name]]&amp;" ("&amp;Table1[[#This Row],[Pitney Bowes Code]]&amp;")"</f>
        <v>Crossroads Shopping Center (120)</v>
      </c>
      <c r="U6" s="25">
        <v>10039</v>
      </c>
      <c r="V6" s="25" t="s">
        <v>231</v>
      </c>
      <c r="W6" s="1"/>
    </row>
    <row r="7" spans="1:23" x14ac:dyDescent="0.35">
      <c r="A7" s="1">
        <v>6</v>
      </c>
      <c r="B7" s="28" t="s">
        <v>153</v>
      </c>
      <c r="C7" s="2">
        <v>353</v>
      </c>
      <c r="E7" s="1" t="s">
        <v>153</v>
      </c>
      <c r="F7" s="1" t="s">
        <v>154</v>
      </c>
      <c r="G7" s="1" t="s">
        <v>45</v>
      </c>
      <c r="H7" s="1">
        <v>98006</v>
      </c>
      <c r="I7" s="12" t="s">
        <v>197</v>
      </c>
      <c r="J7" s="12"/>
      <c r="K7" s="1">
        <v>4</v>
      </c>
      <c r="L7" s="68">
        <v>9</v>
      </c>
      <c r="M7" s="1">
        <v>9</v>
      </c>
      <c r="N7" s="1">
        <v>41</v>
      </c>
      <c r="P7" s="1" t="s">
        <v>132</v>
      </c>
      <c r="R7" s="28">
        <v>47.570538999999997</v>
      </c>
      <c r="S7" s="28">
        <v>-122.148679</v>
      </c>
      <c r="T7" s="1" t="str">
        <f>Table1[[#This Row],[Abbreviated name]]&amp;" ("&amp;Table1[[#This Row],[Pitney Bowes Code]]&amp;")"</f>
        <v>Newport Way Library (353)</v>
      </c>
      <c r="U7" s="25">
        <v>10150</v>
      </c>
      <c r="V7" s="25">
        <v>284389</v>
      </c>
      <c r="W7" s="1"/>
    </row>
    <row r="8" spans="1:23" x14ac:dyDescent="0.35">
      <c r="A8" s="1">
        <v>7</v>
      </c>
      <c r="B8" s="67" t="s">
        <v>435</v>
      </c>
      <c r="C8" s="2">
        <v>356</v>
      </c>
      <c r="E8" s="1" t="s">
        <v>435</v>
      </c>
      <c r="F8" s="1" t="s">
        <v>437</v>
      </c>
      <c r="G8" s="1" t="s">
        <v>45</v>
      </c>
      <c r="H8" s="1">
        <v>98007</v>
      </c>
      <c r="I8" s="12" t="s">
        <v>438</v>
      </c>
      <c r="J8" s="12"/>
      <c r="K8" s="1"/>
      <c r="L8" s="68">
        <v>6</v>
      </c>
      <c r="M8" s="1">
        <v>1</v>
      </c>
      <c r="N8" s="1">
        <v>48</v>
      </c>
      <c r="O8" s="1" t="s">
        <v>133</v>
      </c>
      <c r="Q8" s="1" t="s">
        <v>439</v>
      </c>
      <c r="R8" s="28">
        <v>47.646999999999998</v>
      </c>
      <c r="S8" s="28">
        <v>-122.14386</v>
      </c>
      <c r="T8" s="10" t="str">
        <f>Table1[[#This Row],[Abbreviated name]]&amp;" ("&amp;Table1[[#This Row],[Pitney Bowes Code]]&amp;")"</f>
        <v>North Bellevue Community Center (356)</v>
      </c>
      <c r="U8" s="25" t="s">
        <v>444</v>
      </c>
      <c r="V8" s="25" t="s">
        <v>447</v>
      </c>
      <c r="W8" s="1"/>
    </row>
    <row r="9" spans="1:23" x14ac:dyDescent="0.35">
      <c r="A9" s="1">
        <v>8</v>
      </c>
      <c r="B9" s="28" t="s">
        <v>328</v>
      </c>
      <c r="C9" s="2">
        <v>55</v>
      </c>
      <c r="E9" s="1" t="s">
        <v>328</v>
      </c>
      <c r="F9" s="1" t="s">
        <v>329</v>
      </c>
      <c r="G9" s="1" t="s">
        <v>330</v>
      </c>
      <c r="H9" s="1">
        <v>98010</v>
      </c>
      <c r="I9" s="12" t="s">
        <v>331</v>
      </c>
      <c r="J9" s="12"/>
      <c r="K9" s="1"/>
      <c r="L9" s="68">
        <v>9</v>
      </c>
      <c r="M9" s="1">
        <v>8</v>
      </c>
      <c r="N9" s="1">
        <v>5</v>
      </c>
      <c r="R9" s="28">
        <v>47.311737200000003</v>
      </c>
      <c r="S9" s="28">
        <v>-122.0126544</v>
      </c>
      <c r="T9" s="1" t="str">
        <f>Table1[[#This Row],[Abbreviated name]]&amp;" ("&amp;"0"&amp;Table1[[#This Row],[Pitney Bowes Code]]&amp;")"</f>
        <v>Black Diamond Library (055)</v>
      </c>
      <c r="U9" s="25" t="s">
        <v>339</v>
      </c>
      <c r="V9" s="25" t="s">
        <v>340</v>
      </c>
      <c r="W9" s="1"/>
    </row>
    <row r="10" spans="1:23" x14ac:dyDescent="0.35">
      <c r="A10" s="1">
        <v>9</v>
      </c>
      <c r="B10" s="48" t="s">
        <v>393</v>
      </c>
      <c r="C10" s="46">
        <v>60</v>
      </c>
      <c r="D10" s="14"/>
      <c r="E10" s="14" t="s">
        <v>393</v>
      </c>
      <c r="F10" s="14" t="s">
        <v>394</v>
      </c>
      <c r="G10" s="14" t="s">
        <v>46</v>
      </c>
      <c r="H10" s="14">
        <v>98011</v>
      </c>
      <c r="I10" s="47" t="s">
        <v>192</v>
      </c>
      <c r="J10" s="47" t="s">
        <v>449</v>
      </c>
      <c r="K10" s="14">
        <v>4</v>
      </c>
      <c r="L10" s="68">
        <v>1</v>
      </c>
      <c r="M10" s="14">
        <v>1</v>
      </c>
      <c r="N10" s="14">
        <v>1</v>
      </c>
      <c r="O10" s="14"/>
      <c r="P10" s="14" t="s">
        <v>134</v>
      </c>
      <c r="Q10" s="14"/>
      <c r="R10" s="48">
        <v>47.760449999999999</v>
      </c>
      <c r="S10" s="14">
        <v>-122.21062999999999</v>
      </c>
      <c r="T10" s="14" t="str">
        <f>Table1[[#This Row],[Abbreviated name]]&amp;" ("&amp;"0"&amp;Table1[[#This Row],[Pitney Bowes Code]]&amp;")"</f>
        <v>Bothell Library (060)</v>
      </c>
      <c r="U10" s="50">
        <v>10036</v>
      </c>
      <c r="V10" s="50" t="s">
        <v>222</v>
      </c>
      <c r="W10" s="1"/>
    </row>
    <row r="11" spans="1:23" x14ac:dyDescent="0.35">
      <c r="A11" s="1">
        <v>10</v>
      </c>
      <c r="B11" s="28" t="s">
        <v>410</v>
      </c>
      <c r="C11" s="2">
        <v>495</v>
      </c>
      <c r="D11" s="1" t="s">
        <v>383</v>
      </c>
      <c r="E11" s="1" t="s">
        <v>375</v>
      </c>
      <c r="F11" s="1" t="s">
        <v>376</v>
      </c>
      <c r="G11" s="1" t="s">
        <v>46</v>
      </c>
      <c r="H11" s="1">
        <v>98011</v>
      </c>
      <c r="I11" s="12" t="s">
        <v>377</v>
      </c>
      <c r="J11" s="12"/>
      <c r="K11" s="1"/>
      <c r="L11" s="68">
        <v>1</v>
      </c>
      <c r="M11" s="1">
        <v>1</v>
      </c>
      <c r="N11" s="1">
        <v>1</v>
      </c>
      <c r="R11" s="28">
        <v>47.759979999999999</v>
      </c>
      <c r="S11" s="28">
        <v>-122.19056</v>
      </c>
      <c r="T11" s="10" t="str">
        <f>Table1[[#This Row],[Abbreviated name]]&amp;" ("&amp;Table1[[#This Row],[Pitney Bowes Code]]&amp;")"</f>
        <v>University of Washington Bothell (495)</v>
      </c>
      <c r="U11" s="25"/>
      <c r="V11" s="25"/>
      <c r="W11" s="1"/>
    </row>
    <row r="12" spans="1:23" x14ac:dyDescent="0.35">
      <c r="A12" s="1">
        <v>11</v>
      </c>
      <c r="B12" s="28" t="s">
        <v>32</v>
      </c>
      <c r="C12" s="2">
        <v>70</v>
      </c>
      <c r="E12" s="1" t="s">
        <v>32</v>
      </c>
      <c r="F12" s="1" t="s">
        <v>85</v>
      </c>
      <c r="G12" s="1" t="s">
        <v>47</v>
      </c>
      <c r="H12" s="1">
        <v>98168</v>
      </c>
      <c r="I12" s="12" t="s">
        <v>196</v>
      </c>
      <c r="J12" s="12"/>
      <c r="K12" s="1">
        <v>4</v>
      </c>
      <c r="L12" s="68">
        <v>8</v>
      </c>
      <c r="M12" s="1">
        <v>7</v>
      </c>
      <c r="N12" s="1">
        <v>33</v>
      </c>
      <c r="P12" s="1" t="s">
        <v>134</v>
      </c>
      <c r="R12" s="28">
        <v>47.495337999999997</v>
      </c>
      <c r="S12" s="28">
        <v>-122.30766800000001</v>
      </c>
      <c r="T12" s="1" t="str">
        <f>Table1[[#This Row],[Abbreviated name]]&amp;" ("&amp;"0"&amp;Table1[[#This Row],[Pitney Bowes Code]]&amp;")"</f>
        <v>Boulevard Park Library (070)</v>
      </c>
      <c r="U12" s="25" t="s">
        <v>223</v>
      </c>
      <c r="V12" s="25" t="s">
        <v>224</v>
      </c>
      <c r="W12" s="1"/>
    </row>
    <row r="13" spans="1:23" x14ac:dyDescent="0.35">
      <c r="A13" s="1">
        <v>12</v>
      </c>
      <c r="B13" s="28" t="s">
        <v>356</v>
      </c>
      <c r="C13" s="2">
        <v>90</v>
      </c>
      <c r="D13" s="1" t="s">
        <v>139</v>
      </c>
      <c r="E13" s="1" t="s">
        <v>138</v>
      </c>
      <c r="F13" s="1" t="s">
        <v>157</v>
      </c>
      <c r="G13" s="1" t="s">
        <v>47</v>
      </c>
      <c r="H13" s="1">
        <v>98166</v>
      </c>
      <c r="I13" s="12" t="s">
        <v>192</v>
      </c>
      <c r="J13" s="12"/>
      <c r="K13" s="1">
        <v>1</v>
      </c>
      <c r="L13" s="68">
        <v>8</v>
      </c>
      <c r="M13" s="1">
        <v>7</v>
      </c>
      <c r="N13" s="1">
        <v>33</v>
      </c>
      <c r="P13" s="1" t="s">
        <v>134</v>
      </c>
      <c r="R13" s="28">
        <v>47.466932300000003</v>
      </c>
      <c r="S13" s="28">
        <v>-122.34029630000001</v>
      </c>
      <c r="T13" s="1" t="str">
        <f>Table1[[#This Row],[Abbreviated name]]&amp;" ("&amp;"0"&amp;Table1[[#This Row],[Pitney Bowes Code]]&amp;")"</f>
        <v>Burien Town Square Park  (090)</v>
      </c>
      <c r="U13" s="25" t="s">
        <v>227</v>
      </c>
      <c r="V13" s="25" t="s">
        <v>228</v>
      </c>
      <c r="W13" s="1"/>
    </row>
    <row r="14" spans="1:23" x14ac:dyDescent="0.35">
      <c r="A14" s="1">
        <v>13</v>
      </c>
      <c r="B14" s="28" t="s">
        <v>334</v>
      </c>
      <c r="C14" s="2">
        <v>95</v>
      </c>
      <c r="E14" s="1" t="s">
        <v>334</v>
      </c>
      <c r="F14" s="1" t="s">
        <v>332</v>
      </c>
      <c r="G14" s="1" t="s">
        <v>333</v>
      </c>
      <c r="H14" s="1">
        <v>98014</v>
      </c>
      <c r="I14" s="12" t="s">
        <v>331</v>
      </c>
      <c r="J14" s="12"/>
      <c r="K14" s="1"/>
      <c r="L14" s="68">
        <v>3</v>
      </c>
      <c r="M14" s="1">
        <v>8</v>
      </c>
      <c r="N14" s="1">
        <v>12</v>
      </c>
      <c r="R14" s="28">
        <v>47.650469999999999</v>
      </c>
      <c r="S14" s="28">
        <v>-121.91217</v>
      </c>
      <c r="T14" s="1" t="str">
        <f>Table1[[#This Row],[Abbreviated name]]&amp;" ("&amp;"0"&amp;Table1[[#This Row],[Pitney Bowes Code]]&amp;")"</f>
        <v>Carnation Library (095)</v>
      </c>
      <c r="U14" s="25" t="s">
        <v>336</v>
      </c>
      <c r="V14" s="25" t="s">
        <v>335</v>
      </c>
      <c r="W14" s="1"/>
    </row>
    <row r="15" spans="1:23" x14ac:dyDescent="0.35">
      <c r="A15" s="1">
        <v>14</v>
      </c>
      <c r="B15" s="28" t="s">
        <v>4</v>
      </c>
      <c r="C15" s="2">
        <v>110</v>
      </c>
      <c r="E15" s="1" t="s">
        <v>4</v>
      </c>
      <c r="F15" s="1" t="s">
        <v>87</v>
      </c>
      <c r="G15" s="1" t="s">
        <v>48</v>
      </c>
      <c r="H15" s="1">
        <v>98042</v>
      </c>
      <c r="I15" s="12" t="s">
        <v>192</v>
      </c>
      <c r="J15" s="12"/>
      <c r="K15" s="1">
        <v>4</v>
      </c>
      <c r="L15" s="68">
        <v>9</v>
      </c>
      <c r="M15" s="1">
        <v>8</v>
      </c>
      <c r="N15" s="1">
        <v>47</v>
      </c>
      <c r="P15" s="1" t="s">
        <v>134</v>
      </c>
      <c r="R15" s="28">
        <v>47.359065200000003</v>
      </c>
      <c r="S15" s="28">
        <v>-122.12211069999999</v>
      </c>
      <c r="T15" s="1" t="str">
        <f>Table1[[#This Row],[Abbreviated name]]&amp;" ("&amp;Table1[[#This Row],[Pitney Bowes Code]]&amp;")"</f>
        <v>Covington Library (110)</v>
      </c>
      <c r="U15" s="25" t="s">
        <v>229</v>
      </c>
      <c r="V15" s="25" t="s">
        <v>230</v>
      </c>
      <c r="W15" s="1"/>
    </row>
    <row r="16" spans="1:23" x14ac:dyDescent="0.35">
      <c r="A16" s="1">
        <v>15</v>
      </c>
      <c r="B16" s="4" t="s">
        <v>372</v>
      </c>
      <c r="C16" s="2">
        <v>200</v>
      </c>
      <c r="D16" s="1" t="s">
        <v>141</v>
      </c>
      <c r="E16" s="1" t="s">
        <v>372</v>
      </c>
      <c r="F16" s="1" t="s">
        <v>96</v>
      </c>
      <c r="G16" s="1" t="s">
        <v>337</v>
      </c>
      <c r="H16" s="1">
        <v>98198</v>
      </c>
      <c r="I16" s="12" t="s">
        <v>192</v>
      </c>
      <c r="J16" s="12"/>
      <c r="K16" s="1">
        <v>4</v>
      </c>
      <c r="L16" s="68">
        <v>5</v>
      </c>
      <c r="M16" s="1">
        <v>9</v>
      </c>
      <c r="N16" s="1">
        <v>33</v>
      </c>
      <c r="O16" s="1" t="s">
        <v>133</v>
      </c>
      <c r="P16" s="1" t="s">
        <v>134</v>
      </c>
      <c r="Q16" s="1" t="s">
        <v>439</v>
      </c>
      <c r="R16" s="28">
        <v>47.386772999999998</v>
      </c>
      <c r="S16" s="28">
        <v>-122.29982099999999</v>
      </c>
      <c r="T16" s="1" t="str">
        <f>Table1[[#This Row],[Abbreviated name]]&amp;" ("&amp;Table1[[#This Row],[Pitney Bowes Code]]&amp;")"</f>
        <v>Highline College (200)</v>
      </c>
      <c r="U16" s="25" t="s">
        <v>248</v>
      </c>
      <c r="V16" s="25" t="s">
        <v>249</v>
      </c>
      <c r="W16" s="1"/>
    </row>
    <row r="17" spans="1:23" x14ac:dyDescent="0.35">
      <c r="A17" s="1">
        <v>16</v>
      </c>
      <c r="B17" s="4" t="s">
        <v>412</v>
      </c>
      <c r="C17" s="2">
        <v>125</v>
      </c>
      <c r="E17" s="1" t="s">
        <v>368</v>
      </c>
      <c r="F17" s="1" t="s">
        <v>155</v>
      </c>
      <c r="G17" s="1" t="s">
        <v>136</v>
      </c>
      <c r="H17" s="1">
        <v>98019</v>
      </c>
      <c r="I17" s="12" t="s">
        <v>201</v>
      </c>
      <c r="J17" s="12"/>
      <c r="K17" s="1">
        <v>4</v>
      </c>
      <c r="L17" s="68">
        <v>3</v>
      </c>
      <c r="M17" s="1">
        <v>8</v>
      </c>
      <c r="N17" s="1">
        <v>45</v>
      </c>
      <c r="O17" s="1" t="s">
        <v>133</v>
      </c>
      <c r="P17" s="1" t="s">
        <v>134</v>
      </c>
      <c r="Q17" s="1" t="s">
        <v>439</v>
      </c>
      <c r="R17" s="28">
        <v>47.740019400000001</v>
      </c>
      <c r="S17" s="28">
        <v>-121.98745340000001</v>
      </c>
      <c r="T17" s="1" t="str">
        <f>Table1[[#This Row],[Abbreviated name]]&amp;" ("&amp;Table1[[#This Row],[Pitney Bowes Code]]&amp;")"</f>
        <v>Duvall P.D./Depot Park (125)</v>
      </c>
      <c r="U17" s="25" t="s">
        <v>232</v>
      </c>
      <c r="V17" s="25" t="s">
        <v>233</v>
      </c>
      <c r="W17" s="1"/>
    </row>
    <row r="18" spans="1:23" x14ac:dyDescent="0.35">
      <c r="A18" s="1">
        <v>17</v>
      </c>
      <c r="B18" s="28" t="s">
        <v>5</v>
      </c>
      <c r="C18" s="2">
        <v>130</v>
      </c>
      <c r="E18" s="1" t="s">
        <v>5</v>
      </c>
      <c r="F18" s="1" t="s">
        <v>89</v>
      </c>
      <c r="G18" s="1" t="s">
        <v>49</v>
      </c>
      <c r="H18" s="1">
        <v>98022</v>
      </c>
      <c r="I18" s="12" t="s">
        <v>195</v>
      </c>
      <c r="J18" s="12"/>
      <c r="K18" s="1">
        <v>4</v>
      </c>
      <c r="L18" s="68">
        <v>9</v>
      </c>
      <c r="M18" s="1">
        <v>8</v>
      </c>
      <c r="N18" s="1">
        <v>31</v>
      </c>
      <c r="P18" s="1" t="s">
        <v>134</v>
      </c>
      <c r="R18" s="28">
        <v>47.203415999999997</v>
      </c>
      <c r="S18" s="28">
        <v>-121.9876613</v>
      </c>
      <c r="T18" s="1" t="str">
        <f>Table1[[#This Row],[Abbreviated name]]&amp;" ("&amp;Table1[[#This Row],[Pitney Bowes Code]]&amp;")"</f>
        <v>Enumclaw Library (130)</v>
      </c>
      <c r="U18" s="25">
        <v>2016001</v>
      </c>
      <c r="V18" s="25" t="s">
        <v>234</v>
      </c>
      <c r="W18" s="1"/>
    </row>
    <row r="19" spans="1:23" x14ac:dyDescent="0.35">
      <c r="A19" s="1">
        <v>18</v>
      </c>
      <c r="B19" s="28" t="s">
        <v>6</v>
      </c>
      <c r="C19" s="2">
        <v>150</v>
      </c>
      <c r="E19" s="1" t="s">
        <v>6</v>
      </c>
      <c r="F19" s="1" t="s">
        <v>91</v>
      </c>
      <c r="G19" s="1" t="s">
        <v>50</v>
      </c>
      <c r="H19" s="1">
        <v>98024</v>
      </c>
      <c r="I19" s="12" t="s">
        <v>196</v>
      </c>
      <c r="J19" s="12"/>
      <c r="K19" s="1">
        <v>4</v>
      </c>
      <c r="L19" s="68">
        <v>3</v>
      </c>
      <c r="M19" s="1">
        <v>8</v>
      </c>
      <c r="N19" s="1">
        <v>12</v>
      </c>
      <c r="P19" s="1" t="s">
        <v>132</v>
      </c>
      <c r="R19" s="28">
        <v>47.568584999999999</v>
      </c>
      <c r="S19" s="28">
        <v>-121.893767</v>
      </c>
      <c r="T19" s="1" t="str">
        <f>Table1[[#This Row],[Abbreviated name]]&amp;" ("&amp;Table1[[#This Row],[Pitney Bowes Code]]&amp;")"</f>
        <v>Fall City Library (150)</v>
      </c>
      <c r="U19" s="25" t="s">
        <v>236</v>
      </c>
      <c r="V19" s="25" t="s">
        <v>237</v>
      </c>
      <c r="W19" s="1"/>
    </row>
    <row r="20" spans="1:23" x14ac:dyDescent="0.35">
      <c r="A20" s="1">
        <v>19</v>
      </c>
      <c r="B20" s="28" t="s">
        <v>187</v>
      </c>
      <c r="C20" s="2">
        <v>155</v>
      </c>
      <c r="E20" s="1" t="s">
        <v>187</v>
      </c>
      <c r="F20" s="1" t="s">
        <v>338</v>
      </c>
      <c r="G20" s="1" t="s">
        <v>51</v>
      </c>
      <c r="H20" s="1">
        <v>98003</v>
      </c>
      <c r="I20" s="12" t="s">
        <v>199</v>
      </c>
      <c r="J20" s="12"/>
      <c r="K20" s="10">
        <v>4</v>
      </c>
      <c r="L20" s="68">
        <v>7</v>
      </c>
      <c r="M20" s="1">
        <v>9</v>
      </c>
      <c r="N20" s="1">
        <v>30</v>
      </c>
      <c r="R20" s="28">
        <v>47.315742</v>
      </c>
      <c r="S20" s="28">
        <v>-122.320815</v>
      </c>
      <c r="T20" s="10" t="str">
        <f>Table1[[#This Row],[Abbreviated name]]&amp;" ("&amp;Table1[[#This Row],[Pitney Bowes Code]]&amp;")"</f>
        <v>Federal Way 320th Library (155)</v>
      </c>
      <c r="U20" s="25" t="s">
        <v>238</v>
      </c>
      <c r="V20" s="25" t="s">
        <v>239</v>
      </c>
      <c r="W20" s="1"/>
    </row>
    <row r="21" spans="1:23" x14ac:dyDescent="0.35">
      <c r="A21" s="1">
        <v>20</v>
      </c>
      <c r="B21" s="28" t="s">
        <v>7</v>
      </c>
      <c r="C21" s="2">
        <v>160</v>
      </c>
      <c r="E21" s="1" t="s">
        <v>7</v>
      </c>
      <c r="F21" s="1" t="s">
        <v>92</v>
      </c>
      <c r="G21" s="1" t="s">
        <v>51</v>
      </c>
      <c r="H21" s="1">
        <v>98003</v>
      </c>
      <c r="I21" s="12" t="s">
        <v>192</v>
      </c>
      <c r="J21" s="12"/>
      <c r="K21" s="1">
        <v>1</v>
      </c>
      <c r="L21" s="68">
        <v>7</v>
      </c>
      <c r="M21" s="1">
        <v>9</v>
      </c>
      <c r="N21" s="1">
        <v>30</v>
      </c>
      <c r="P21" s="1" t="s">
        <v>132</v>
      </c>
      <c r="R21" s="28">
        <v>47.304138999999999</v>
      </c>
      <c r="S21" s="28">
        <v>-122.325417</v>
      </c>
      <c r="T21" s="1" t="str">
        <f>Table1[[#This Row],[Abbreviated name]]&amp;" ("&amp;Table1[[#This Row],[Pitney Bowes Code]]&amp;")"</f>
        <v>Federal Way City Hall (160)</v>
      </c>
      <c r="U21" s="25" t="s">
        <v>240</v>
      </c>
      <c r="V21" s="25" t="s">
        <v>241</v>
      </c>
      <c r="W21" s="1"/>
    </row>
    <row r="22" spans="1:23" x14ac:dyDescent="0.35">
      <c r="A22" s="1">
        <v>21</v>
      </c>
      <c r="B22" s="45" t="s">
        <v>408</v>
      </c>
      <c r="C22" s="46">
        <v>414</v>
      </c>
      <c r="D22" s="14"/>
      <c r="E22" s="14" t="s">
        <v>396</v>
      </c>
      <c r="F22" s="14" t="s">
        <v>397</v>
      </c>
      <c r="G22" s="14" t="s">
        <v>51</v>
      </c>
      <c r="H22" s="14">
        <v>98003</v>
      </c>
      <c r="I22" s="47" t="s">
        <v>399</v>
      </c>
      <c r="J22" s="47"/>
      <c r="K22" s="14"/>
      <c r="L22" s="68">
        <v>7</v>
      </c>
      <c r="M22" s="14">
        <v>9</v>
      </c>
      <c r="N22" s="14">
        <v>30</v>
      </c>
      <c r="O22" s="14" t="s">
        <v>133</v>
      </c>
      <c r="P22" s="14"/>
      <c r="Q22" s="14"/>
      <c r="R22" s="48">
        <v>47.343245000000003</v>
      </c>
      <c r="S22" s="48">
        <v>-122.30025000000001</v>
      </c>
      <c r="T22" s="49" t="str">
        <f>Table1[[#This Row],[Abbreviated name]]&amp;" ("&amp;Table1[[#This Row],[Pitney Bowes Code]]&amp;")"</f>
        <v>Safeway - Star Lake (414)</v>
      </c>
      <c r="U22" s="50" t="s">
        <v>402</v>
      </c>
      <c r="V22" s="50" t="s">
        <v>403</v>
      </c>
      <c r="W22" s="1"/>
    </row>
    <row r="23" spans="1:23" x14ac:dyDescent="0.35">
      <c r="A23" s="1">
        <v>22</v>
      </c>
      <c r="B23" s="28" t="s">
        <v>8</v>
      </c>
      <c r="C23" s="2">
        <v>220</v>
      </c>
      <c r="E23" s="1" t="s">
        <v>8</v>
      </c>
      <c r="F23" s="1" t="s">
        <v>98</v>
      </c>
      <c r="G23" s="1" t="s">
        <v>52</v>
      </c>
      <c r="H23" s="1">
        <v>98027</v>
      </c>
      <c r="I23" s="12" t="s">
        <v>196</v>
      </c>
      <c r="J23" s="12"/>
      <c r="K23" s="1">
        <v>4</v>
      </c>
      <c r="L23" s="68">
        <v>3</v>
      </c>
      <c r="M23" s="1">
        <v>8</v>
      </c>
      <c r="N23" s="1">
        <v>5</v>
      </c>
      <c r="P23" s="1" t="s">
        <v>134</v>
      </c>
      <c r="R23" s="28">
        <v>47.530273000000001</v>
      </c>
      <c r="S23" s="28">
        <v>-122.03460200000001</v>
      </c>
      <c r="T23" s="1" t="str">
        <f>Table1[[#This Row],[Abbreviated name]]&amp;" ("&amp;Table1[[#This Row],[Pitney Bowes Code]]&amp;")"</f>
        <v>Issaquah City Hall (220)</v>
      </c>
      <c r="U23" s="25" t="s">
        <v>252</v>
      </c>
      <c r="V23" s="25" t="s">
        <v>253</v>
      </c>
      <c r="W23" s="1"/>
    </row>
    <row r="24" spans="1:23" x14ac:dyDescent="0.35">
      <c r="A24" s="1">
        <v>23</v>
      </c>
      <c r="B24" s="28" t="s">
        <v>9</v>
      </c>
      <c r="C24" s="2">
        <v>230</v>
      </c>
      <c r="E24" s="1" t="s">
        <v>9</v>
      </c>
      <c r="F24" s="1" t="s">
        <v>99</v>
      </c>
      <c r="G24" s="1" t="s">
        <v>53</v>
      </c>
      <c r="H24" s="1">
        <v>98028</v>
      </c>
      <c r="I24" s="12" t="s">
        <v>196</v>
      </c>
      <c r="J24" s="12"/>
      <c r="K24" s="1">
        <v>4</v>
      </c>
      <c r="L24" s="68">
        <v>1</v>
      </c>
      <c r="M24" s="1">
        <v>1</v>
      </c>
      <c r="N24" s="1">
        <v>1</v>
      </c>
      <c r="P24" s="1" t="s">
        <v>134</v>
      </c>
      <c r="R24" s="28">
        <v>47.760387000000001</v>
      </c>
      <c r="S24" s="28">
        <v>-122.249449</v>
      </c>
      <c r="T24" s="1" t="str">
        <f>Table1[[#This Row],[Abbreviated name]]&amp;" ("&amp;Table1[[#This Row],[Pitney Bowes Code]]&amp;")"</f>
        <v>Kenmore City Hall (230)</v>
      </c>
      <c r="U24" s="25">
        <v>10102</v>
      </c>
      <c r="V24" s="25" t="s">
        <v>254</v>
      </c>
      <c r="W24" s="1"/>
    </row>
    <row r="25" spans="1:23" x14ac:dyDescent="0.35">
      <c r="A25" s="1">
        <v>24</v>
      </c>
      <c r="B25" s="28" t="s">
        <v>359</v>
      </c>
      <c r="C25" s="2">
        <v>233</v>
      </c>
      <c r="E25" s="1" t="s">
        <v>359</v>
      </c>
      <c r="F25" s="1" t="s">
        <v>354</v>
      </c>
      <c r="G25" s="1" t="s">
        <v>54</v>
      </c>
      <c r="H25" s="1">
        <v>98031</v>
      </c>
      <c r="I25" s="12" t="s">
        <v>360</v>
      </c>
      <c r="J25" s="12"/>
      <c r="K25" s="10"/>
      <c r="L25" s="68">
        <v>5</v>
      </c>
      <c r="M25" s="1">
        <v>9</v>
      </c>
      <c r="N25" s="1">
        <v>11</v>
      </c>
      <c r="R25" s="1">
        <v>47.418185000000001</v>
      </c>
      <c r="S25" s="1">
        <v>-122.19676</v>
      </c>
      <c r="T25" s="10" t="str">
        <f>Table1[[#This Row],[Abbreviated name]]&amp;" ("&amp;Table1[[#This Row],[Pitney Bowes Code]]&amp;")"</f>
        <v>Kent Panther Lake Library (233)</v>
      </c>
      <c r="U25" s="25" t="s">
        <v>255</v>
      </c>
      <c r="V25" s="25" t="s">
        <v>256</v>
      </c>
      <c r="W25" s="1"/>
    </row>
    <row r="26" spans="1:23" x14ac:dyDescent="0.35">
      <c r="A26" s="1">
        <v>25</v>
      </c>
      <c r="B26" s="28" t="s">
        <v>204</v>
      </c>
      <c r="C26" s="2">
        <v>235</v>
      </c>
      <c r="E26" s="1" t="s">
        <v>204</v>
      </c>
      <c r="F26" s="1" t="s">
        <v>205</v>
      </c>
      <c r="G26" s="1" t="s">
        <v>54</v>
      </c>
      <c r="H26" s="1">
        <v>98030</v>
      </c>
      <c r="I26" s="12" t="s">
        <v>203</v>
      </c>
      <c r="J26" s="12"/>
      <c r="K26" s="1">
        <v>4</v>
      </c>
      <c r="L26" s="68">
        <v>5</v>
      </c>
      <c r="M26" s="1">
        <v>9</v>
      </c>
      <c r="N26" s="1">
        <v>47</v>
      </c>
      <c r="R26" s="28">
        <v>47.379795000000001</v>
      </c>
      <c r="S26" s="28">
        <v>-122.196093</v>
      </c>
      <c r="T26" s="10" t="str">
        <f>Table1[[#This Row],[Abbreviated name]]&amp;" ("&amp;Table1[[#This Row],[Pitney Bowes Code]]&amp;")"</f>
        <v>Kent YMCA (235)</v>
      </c>
      <c r="U26" s="25" t="s">
        <v>324</v>
      </c>
      <c r="V26" s="25" t="s">
        <v>325</v>
      </c>
      <c r="W26" s="1"/>
    </row>
    <row r="27" spans="1:23" x14ac:dyDescent="0.35">
      <c r="A27" s="1">
        <v>26</v>
      </c>
      <c r="B27" s="28" t="s">
        <v>144</v>
      </c>
      <c r="C27" s="2">
        <v>400</v>
      </c>
      <c r="D27" s="1" t="s">
        <v>145</v>
      </c>
      <c r="E27" s="1" t="s">
        <v>144</v>
      </c>
      <c r="F27" s="1" t="s">
        <v>115</v>
      </c>
      <c r="G27" s="1" t="s">
        <v>54</v>
      </c>
      <c r="H27" s="1">
        <v>98032</v>
      </c>
      <c r="I27" s="12" t="s">
        <v>192</v>
      </c>
      <c r="J27" s="12"/>
      <c r="K27" s="1">
        <v>4</v>
      </c>
      <c r="L27" s="68">
        <v>5</v>
      </c>
      <c r="M27" s="1">
        <v>9</v>
      </c>
      <c r="N27" s="1">
        <v>33</v>
      </c>
      <c r="P27" s="1" t="s">
        <v>134</v>
      </c>
      <c r="R27" s="28">
        <v>47.385257000000003</v>
      </c>
      <c r="S27" s="28">
        <v>-122.239009</v>
      </c>
      <c r="T27" s="1" t="str">
        <f>Table1[[#This Row],[Abbreviated name]]&amp;" ("&amp;Table1[[#This Row],[Pitney Bowes Code]]&amp;")"</f>
        <v>Regional Justice Center (400)</v>
      </c>
      <c r="U27" s="25" t="s">
        <v>279</v>
      </c>
      <c r="V27" s="25" t="s">
        <v>280</v>
      </c>
      <c r="W27" s="1"/>
    </row>
    <row r="28" spans="1:23" x14ac:dyDescent="0.35">
      <c r="A28" s="1">
        <v>27</v>
      </c>
      <c r="B28" s="28" t="s">
        <v>11</v>
      </c>
      <c r="C28" s="2">
        <v>270</v>
      </c>
      <c r="E28" s="1" t="s">
        <v>11</v>
      </c>
      <c r="F28" s="1" t="s">
        <v>103</v>
      </c>
      <c r="G28" s="1" t="s">
        <v>55</v>
      </c>
      <c r="H28" s="1">
        <v>98034</v>
      </c>
      <c r="I28" s="12" t="s">
        <v>192</v>
      </c>
      <c r="J28" s="12"/>
      <c r="K28" s="1">
        <v>4</v>
      </c>
      <c r="L28" s="68">
        <v>6</v>
      </c>
      <c r="M28" s="1">
        <v>1</v>
      </c>
      <c r="N28" s="1">
        <v>45</v>
      </c>
      <c r="P28" s="1" t="s">
        <v>132</v>
      </c>
      <c r="R28" s="28">
        <v>47.729672000000001</v>
      </c>
      <c r="S28" s="28">
        <v>-122.176588</v>
      </c>
      <c r="T28" s="1" t="str">
        <f>Table1[[#This Row],[Abbreviated name]]&amp;" ("&amp;Table1[[#This Row],[Pitney Bowes Code]]&amp;")"</f>
        <v>Kingsgate Library (270)</v>
      </c>
      <c r="U28" s="25">
        <v>10029</v>
      </c>
      <c r="V28" s="25" t="s">
        <v>257</v>
      </c>
      <c r="W28" s="1"/>
    </row>
    <row r="29" spans="1:23" x14ac:dyDescent="0.35">
      <c r="A29" s="1">
        <v>28</v>
      </c>
      <c r="B29" s="28" t="s">
        <v>12</v>
      </c>
      <c r="C29" s="2">
        <v>280</v>
      </c>
      <c r="E29" s="1" t="s">
        <v>12</v>
      </c>
      <c r="F29" s="1" t="s">
        <v>104</v>
      </c>
      <c r="G29" s="1" t="s">
        <v>55</v>
      </c>
      <c r="H29" s="1">
        <v>98033</v>
      </c>
      <c r="I29" s="12" t="s">
        <v>195</v>
      </c>
      <c r="J29" s="12"/>
      <c r="K29" s="1">
        <v>4</v>
      </c>
      <c r="L29" s="68">
        <v>6</v>
      </c>
      <c r="M29" s="1">
        <v>1</v>
      </c>
      <c r="N29" s="1">
        <v>45</v>
      </c>
      <c r="P29" s="1" t="s">
        <v>134</v>
      </c>
      <c r="R29" s="28">
        <v>47.677925000000002</v>
      </c>
      <c r="S29" s="28">
        <v>-122.2069</v>
      </c>
      <c r="T29" s="1" t="str">
        <f>Table1[[#This Row],[Abbreviated name]]&amp;" ("&amp;Table1[[#This Row],[Pitney Bowes Code]]&amp;")"</f>
        <v>Kirkland City Hall (280)</v>
      </c>
      <c r="U29" s="25">
        <v>10007</v>
      </c>
      <c r="V29" s="25" t="s">
        <v>258</v>
      </c>
      <c r="W29" s="1"/>
    </row>
    <row r="30" spans="1:23" x14ac:dyDescent="0.35">
      <c r="A30" s="1">
        <v>29</v>
      </c>
      <c r="B30" s="28" t="s">
        <v>13</v>
      </c>
      <c r="C30" s="2">
        <v>300</v>
      </c>
      <c r="E30" s="1" t="s">
        <v>13</v>
      </c>
      <c r="F30" s="1" t="s">
        <v>106</v>
      </c>
      <c r="G30" s="1" t="s">
        <v>56</v>
      </c>
      <c r="H30" s="1">
        <v>98155</v>
      </c>
      <c r="I30" s="12" t="s">
        <v>192</v>
      </c>
      <c r="J30" s="12"/>
      <c r="K30" s="1">
        <v>2</v>
      </c>
      <c r="L30" s="68">
        <v>1</v>
      </c>
      <c r="M30" s="1">
        <v>7</v>
      </c>
      <c r="N30" s="1">
        <v>1</v>
      </c>
      <c r="P30" s="1" t="s">
        <v>134</v>
      </c>
      <c r="R30" s="28">
        <v>47.753813000000001</v>
      </c>
      <c r="S30" s="28">
        <v>-122.277738</v>
      </c>
      <c r="T30" s="1" t="str">
        <f>Table1[[#This Row],[Abbreviated name]]&amp;" ("&amp;Table1[[#This Row],[Pitney Bowes Code]]&amp;")"</f>
        <v>Lake Forest Park City Hall (300)</v>
      </c>
      <c r="U30" s="25">
        <v>10002</v>
      </c>
      <c r="V30" s="25" t="s">
        <v>260</v>
      </c>
      <c r="W30" s="1"/>
    </row>
    <row r="31" spans="1:23" x14ac:dyDescent="0.35">
      <c r="A31" s="1">
        <v>30</v>
      </c>
      <c r="B31" s="28" t="s">
        <v>14</v>
      </c>
      <c r="C31" s="2">
        <v>210</v>
      </c>
      <c r="E31" s="1" t="s">
        <v>14</v>
      </c>
      <c r="F31" s="1" t="s">
        <v>97</v>
      </c>
      <c r="G31" s="1" t="s">
        <v>57</v>
      </c>
      <c r="H31" s="1">
        <v>98038</v>
      </c>
      <c r="I31" s="12" t="s">
        <v>196</v>
      </c>
      <c r="J31" s="12"/>
      <c r="K31" s="1">
        <v>4</v>
      </c>
      <c r="L31" s="68">
        <v>9</v>
      </c>
      <c r="M31" s="1">
        <v>8</v>
      </c>
      <c r="N31" s="1">
        <v>5</v>
      </c>
      <c r="P31" s="1" t="s">
        <v>134</v>
      </c>
      <c r="R31" s="28">
        <v>47.419941000000001</v>
      </c>
      <c r="S31" s="28">
        <v>-121.97291800000001</v>
      </c>
      <c r="T31" s="1" t="str">
        <f>Table1[[#This Row],[Abbreviated name]]&amp;" ("&amp;Table1[[#This Row],[Pitney Bowes Code]]&amp;")"</f>
        <v>Hobart Food Market (210)</v>
      </c>
      <c r="U31" s="25" t="s">
        <v>250</v>
      </c>
      <c r="V31" s="25" t="s">
        <v>251</v>
      </c>
      <c r="W31" s="1"/>
    </row>
    <row r="32" spans="1:23" x14ac:dyDescent="0.35">
      <c r="A32" s="1">
        <v>31</v>
      </c>
      <c r="B32" s="4" t="s">
        <v>15</v>
      </c>
      <c r="C32" s="2">
        <v>480</v>
      </c>
      <c r="E32" s="1" t="s">
        <v>15</v>
      </c>
      <c r="F32" s="1" t="s">
        <v>122</v>
      </c>
      <c r="G32" s="1" t="s">
        <v>57</v>
      </c>
      <c r="H32" s="1">
        <v>98038</v>
      </c>
      <c r="I32" s="12" t="s">
        <v>195</v>
      </c>
      <c r="J32" s="12"/>
      <c r="K32" s="1">
        <v>4</v>
      </c>
      <c r="L32" s="68">
        <v>9</v>
      </c>
      <c r="M32" s="1">
        <v>8</v>
      </c>
      <c r="N32" s="1">
        <v>5</v>
      </c>
      <c r="O32" s="1" t="s">
        <v>133</v>
      </c>
      <c r="P32" s="1" t="s">
        <v>132</v>
      </c>
      <c r="Q32" s="1" t="s">
        <v>439</v>
      </c>
      <c r="R32" s="28">
        <v>47.371355000000001</v>
      </c>
      <c r="S32" s="28">
        <v>-122.02169000000001</v>
      </c>
      <c r="T32" s="1" t="str">
        <f>Table1[[#This Row],[Abbreviated name]]&amp;" ("&amp;Table1[[#This Row],[Pitney Bowes Code]]&amp;")"</f>
        <v>Tahoma School District Building (480)</v>
      </c>
      <c r="U32" s="25" t="s">
        <v>299</v>
      </c>
      <c r="V32" s="25" t="s">
        <v>300</v>
      </c>
      <c r="W32" s="1"/>
    </row>
    <row r="33" spans="1:23" x14ac:dyDescent="0.35">
      <c r="A33" s="1">
        <v>32</v>
      </c>
      <c r="B33" s="28" t="s">
        <v>16</v>
      </c>
      <c r="C33" s="2">
        <v>320</v>
      </c>
      <c r="E33" s="1" t="s">
        <v>16</v>
      </c>
      <c r="F33" s="1" t="s">
        <v>108</v>
      </c>
      <c r="G33" s="1" t="s">
        <v>58</v>
      </c>
      <c r="H33" s="1">
        <v>98040</v>
      </c>
      <c r="I33" s="12" t="s">
        <v>196</v>
      </c>
      <c r="J33" s="12"/>
      <c r="K33" s="1">
        <v>4</v>
      </c>
      <c r="L33" s="68">
        <v>6</v>
      </c>
      <c r="M33" s="1">
        <v>9</v>
      </c>
      <c r="N33" s="1">
        <v>41</v>
      </c>
      <c r="P33" s="1" t="s">
        <v>132</v>
      </c>
      <c r="R33" s="28">
        <v>47.589253999999997</v>
      </c>
      <c r="S33" s="28">
        <v>-122.22812500000001</v>
      </c>
      <c r="T33" s="1" t="str">
        <f>Table1[[#This Row],[Abbreviated name]]&amp;" ("&amp;Table1[[#This Row],[Pitney Bowes Code]]&amp;")"</f>
        <v>Mercer Island Community &amp; Event Center (320)</v>
      </c>
      <c r="U33" s="25">
        <v>10101</v>
      </c>
      <c r="V33" s="25">
        <v>284358</v>
      </c>
      <c r="W33" s="1"/>
    </row>
    <row r="34" spans="1:23" x14ac:dyDescent="0.35">
      <c r="A34" s="1">
        <v>33</v>
      </c>
      <c r="B34" s="28" t="s">
        <v>17</v>
      </c>
      <c r="C34" s="2">
        <v>340</v>
      </c>
      <c r="E34" s="1" t="s">
        <v>17</v>
      </c>
      <c r="F34" s="1" t="s">
        <v>110</v>
      </c>
      <c r="G34" s="1" t="s">
        <v>59</v>
      </c>
      <c r="H34" s="1">
        <v>98056</v>
      </c>
      <c r="I34" s="12" t="s">
        <v>193</v>
      </c>
      <c r="J34" s="12"/>
      <c r="K34" s="1">
        <v>4</v>
      </c>
      <c r="L34" s="68">
        <v>9</v>
      </c>
      <c r="M34" s="1">
        <v>9</v>
      </c>
      <c r="N34" s="1">
        <v>41</v>
      </c>
      <c r="P34" s="1" t="s">
        <v>134</v>
      </c>
      <c r="R34" s="28">
        <v>47.538425799999999</v>
      </c>
      <c r="S34" s="28">
        <v>-122.1687127</v>
      </c>
      <c r="T34" s="1" t="str">
        <f>Table1[[#This Row],[Abbreviated name]]&amp;" ("&amp;Table1[[#This Row],[Pitney Bowes Code]]&amp;")"</f>
        <v>Newcastle City Hall (340)</v>
      </c>
      <c r="U34" s="25">
        <v>10107</v>
      </c>
      <c r="V34" s="25">
        <v>284333</v>
      </c>
      <c r="W34" s="1"/>
    </row>
    <row r="35" spans="1:23" x14ac:dyDescent="0.35">
      <c r="A35" s="1">
        <v>34</v>
      </c>
      <c r="B35" s="28" t="s">
        <v>147</v>
      </c>
      <c r="C35" s="2">
        <v>355</v>
      </c>
      <c r="E35" s="1" t="s">
        <v>148</v>
      </c>
      <c r="F35" s="1" t="s">
        <v>149</v>
      </c>
      <c r="G35" s="1" t="s">
        <v>148</v>
      </c>
      <c r="H35" s="1">
        <v>98148</v>
      </c>
      <c r="I35" s="12" t="s">
        <v>197</v>
      </c>
      <c r="J35" s="12"/>
      <c r="K35" s="1">
        <v>4</v>
      </c>
      <c r="L35" s="68">
        <v>5</v>
      </c>
      <c r="M35" s="1">
        <v>7</v>
      </c>
      <c r="N35" s="1">
        <v>33</v>
      </c>
      <c r="P35" s="1" t="s">
        <v>132</v>
      </c>
      <c r="R35" s="28">
        <v>47.423994999999998</v>
      </c>
      <c r="S35" s="28">
        <v>-122.336956</v>
      </c>
      <c r="T35" s="1" t="str">
        <f>Table1[[#This Row],[Abbreviated name]]&amp;" ("&amp;Table1[[#This Row],[Pitney Bowes Code]]&amp;")"</f>
        <v>Normandy Park (355)</v>
      </c>
      <c r="U35" s="25" t="s">
        <v>267</v>
      </c>
      <c r="V35" s="25" t="s">
        <v>268</v>
      </c>
      <c r="W35" s="1"/>
    </row>
    <row r="36" spans="1:23" x14ac:dyDescent="0.35">
      <c r="A36" s="1">
        <v>35</v>
      </c>
      <c r="B36" s="28" t="s">
        <v>150</v>
      </c>
      <c r="C36" s="2">
        <v>357</v>
      </c>
      <c r="E36" s="1" t="s">
        <v>150</v>
      </c>
      <c r="F36" s="1" t="s">
        <v>152</v>
      </c>
      <c r="G36" s="1" t="s">
        <v>151</v>
      </c>
      <c r="H36" s="1">
        <v>98045</v>
      </c>
      <c r="I36" s="12" t="s">
        <v>197</v>
      </c>
      <c r="J36" s="12"/>
      <c r="K36" s="1">
        <v>4</v>
      </c>
      <c r="L36" s="68">
        <v>3</v>
      </c>
      <c r="M36" s="1">
        <v>8</v>
      </c>
      <c r="N36" s="1">
        <v>12</v>
      </c>
      <c r="P36" s="1" t="s">
        <v>132</v>
      </c>
      <c r="R36" s="28">
        <v>47.496782000000003</v>
      </c>
      <c r="S36" s="28">
        <v>-121.783107</v>
      </c>
      <c r="T36" s="1" t="str">
        <f>Table1[[#This Row],[Abbreviated name]]&amp;" ("&amp;Table1[[#This Row],[Pitney Bowes Code]]&amp;")"</f>
        <v>North Bend Library (357)</v>
      </c>
      <c r="U36" s="25" t="s">
        <v>269</v>
      </c>
      <c r="V36" s="25" t="s">
        <v>270</v>
      </c>
      <c r="W36" s="1"/>
    </row>
    <row r="37" spans="1:23" x14ac:dyDescent="0.35">
      <c r="A37" s="1">
        <v>36</v>
      </c>
      <c r="B37" s="28" t="s">
        <v>404</v>
      </c>
      <c r="C37" s="2">
        <v>10</v>
      </c>
      <c r="E37" s="1" t="s">
        <v>18</v>
      </c>
      <c r="F37" s="1" t="s">
        <v>79</v>
      </c>
      <c r="G37" s="1" t="s">
        <v>60</v>
      </c>
      <c r="H37" s="1">
        <v>98047</v>
      </c>
      <c r="I37" s="12" t="s">
        <v>195</v>
      </c>
      <c r="J37" s="12"/>
      <c r="K37" s="1">
        <v>4</v>
      </c>
      <c r="L37" s="68">
        <v>7</v>
      </c>
      <c r="M37" s="1">
        <v>9</v>
      </c>
      <c r="N37" s="1">
        <v>30</v>
      </c>
      <c r="P37" s="1" t="s">
        <v>132</v>
      </c>
      <c r="R37" s="28">
        <v>47.271682200000001</v>
      </c>
      <c r="S37" s="28">
        <v>-122.2540566</v>
      </c>
      <c r="T37" s="1" t="str">
        <f>Table1[[#This Row],[Abbreviated name]]&amp;" ("&amp;"0"&amp;Table1[[#This Row],[Pitney Bowes Code]]&amp;")"</f>
        <v>Algona-Pacific Library (010)</v>
      </c>
      <c r="U37" s="25" t="s">
        <v>210</v>
      </c>
      <c r="V37" s="25" t="s">
        <v>211</v>
      </c>
      <c r="W37" s="1"/>
    </row>
    <row r="38" spans="1:23" x14ac:dyDescent="0.35">
      <c r="A38" s="1">
        <v>37</v>
      </c>
      <c r="B38" s="4" t="s">
        <v>19</v>
      </c>
      <c r="C38" s="2">
        <v>390</v>
      </c>
      <c r="E38" s="1" t="s">
        <v>19</v>
      </c>
      <c r="F38" s="1" t="s">
        <v>114</v>
      </c>
      <c r="G38" s="1" t="s">
        <v>61</v>
      </c>
      <c r="H38" s="1">
        <v>98052</v>
      </c>
      <c r="I38" s="12" t="s">
        <v>192</v>
      </c>
      <c r="J38" s="12"/>
      <c r="K38" s="1">
        <v>1</v>
      </c>
      <c r="L38" s="68">
        <v>6</v>
      </c>
      <c r="M38" s="1">
        <v>1</v>
      </c>
      <c r="N38" s="1">
        <v>48</v>
      </c>
      <c r="O38" s="1" t="s">
        <v>133</v>
      </c>
      <c r="P38" s="1" t="s">
        <v>134</v>
      </c>
      <c r="Q38" s="1" t="s">
        <v>439</v>
      </c>
      <c r="R38" s="28">
        <v>47.679039400000001</v>
      </c>
      <c r="S38" s="28">
        <v>-122.13023010000001</v>
      </c>
      <c r="T38" s="1" t="str">
        <f>Table1[[#This Row],[Abbreviated name]]&amp;" ("&amp;Table1[[#This Row],[Pitney Bowes Code]]&amp;")"</f>
        <v>Redmond City Hall (390)</v>
      </c>
      <c r="U38" s="25" t="s">
        <v>391</v>
      </c>
      <c r="V38" s="25" t="s">
        <v>390</v>
      </c>
      <c r="W38" s="1"/>
    </row>
    <row r="39" spans="1:23" x14ac:dyDescent="0.35">
      <c r="A39" s="1">
        <v>38</v>
      </c>
      <c r="B39" s="4" t="s">
        <v>161</v>
      </c>
      <c r="C39" s="2">
        <v>395</v>
      </c>
      <c r="E39" s="1" t="s">
        <v>179</v>
      </c>
      <c r="F39" s="1" t="s">
        <v>170</v>
      </c>
      <c r="G39" s="1" t="s">
        <v>61</v>
      </c>
      <c r="H39" s="1">
        <v>98052</v>
      </c>
      <c r="I39" s="12" t="s">
        <v>191</v>
      </c>
      <c r="J39" s="12"/>
      <c r="K39" s="1">
        <v>4</v>
      </c>
      <c r="L39" s="68">
        <v>6</v>
      </c>
      <c r="M39" s="1">
        <v>1</v>
      </c>
      <c r="N39" s="1">
        <v>48</v>
      </c>
      <c r="O39" s="1" t="s">
        <v>133</v>
      </c>
      <c r="P39" s="3" t="s">
        <v>132</v>
      </c>
      <c r="Q39" s="4" t="s">
        <v>439</v>
      </c>
      <c r="R39" s="28">
        <v>47.664577999999999</v>
      </c>
      <c r="S39" s="28">
        <v>-122.10668800000001</v>
      </c>
      <c r="T39" s="1" t="str">
        <f>Table1[[#This Row],[Abbreviated name]]&amp;" ("&amp;Table1[[#This Row],[Pitney Bowes Code]]&amp;")"</f>
        <v>Redmond Community Center (395)</v>
      </c>
      <c r="U39" s="25" t="s">
        <v>277</v>
      </c>
      <c r="V39" s="25" t="s">
        <v>278</v>
      </c>
      <c r="W39" s="1"/>
    </row>
    <row r="40" spans="1:23" x14ac:dyDescent="0.35">
      <c r="A40" s="1">
        <v>39</v>
      </c>
      <c r="B40" s="66" t="s">
        <v>434</v>
      </c>
      <c r="C40" s="2">
        <v>397</v>
      </c>
      <c r="E40" s="1" t="s">
        <v>434</v>
      </c>
      <c r="F40" s="1" t="s">
        <v>440</v>
      </c>
      <c r="G40" s="1" t="s">
        <v>61</v>
      </c>
      <c r="H40" s="1">
        <v>98053</v>
      </c>
      <c r="I40" s="12" t="s">
        <v>438</v>
      </c>
      <c r="J40" s="12"/>
      <c r="K40" s="1"/>
      <c r="L40" s="68">
        <v>3</v>
      </c>
      <c r="M40" s="1">
        <v>8</v>
      </c>
      <c r="N40" s="1">
        <v>45</v>
      </c>
      <c r="O40" s="1" t="s">
        <v>133</v>
      </c>
      <c r="P40" s="3"/>
      <c r="Q40" s="4" t="s">
        <v>439</v>
      </c>
      <c r="R40" s="28">
        <v>47.685499999999998</v>
      </c>
      <c r="S40" s="28">
        <v>-122.03323</v>
      </c>
      <c r="T40" s="10" t="str">
        <f>Table1[[#This Row],[Abbreviated name]]&amp;" ("&amp;Table1[[#This Row],[Pitney Bowes Code]]&amp;")"</f>
        <v>Redmond Ridge Park &amp; Ride (397)</v>
      </c>
      <c r="U40" s="25" t="s">
        <v>443</v>
      </c>
      <c r="V40" s="25" t="s">
        <v>445</v>
      </c>
      <c r="W40" s="1"/>
    </row>
    <row r="41" spans="1:23" x14ac:dyDescent="0.35">
      <c r="A41" s="1">
        <v>40</v>
      </c>
      <c r="B41" s="28" t="s">
        <v>20</v>
      </c>
      <c r="C41" s="2">
        <v>140</v>
      </c>
      <c r="E41" s="1" t="s">
        <v>20</v>
      </c>
      <c r="F41" s="1" t="s">
        <v>90</v>
      </c>
      <c r="G41" s="1" t="s">
        <v>62</v>
      </c>
      <c r="H41" s="1">
        <v>98058</v>
      </c>
      <c r="I41" s="12" t="s">
        <v>195</v>
      </c>
      <c r="J41" s="12"/>
      <c r="K41" s="1">
        <v>4</v>
      </c>
      <c r="L41" s="68">
        <v>9</v>
      </c>
      <c r="M41" s="1">
        <v>9</v>
      </c>
      <c r="N41" s="1">
        <v>11</v>
      </c>
      <c r="P41" s="1" t="s">
        <v>132</v>
      </c>
      <c r="R41" s="28">
        <v>47.450586000000001</v>
      </c>
      <c r="S41" s="28">
        <v>-122.15481699999999</v>
      </c>
      <c r="T41" s="1" t="str">
        <f>Table1[[#This Row],[Abbreviated name]]&amp;" ("&amp;Table1[[#This Row],[Pitney Bowes Code]]&amp;")"</f>
        <v>Fairwood Library (140)</v>
      </c>
      <c r="U41" s="25">
        <v>2016002</v>
      </c>
      <c r="V41" s="25" t="s">
        <v>235</v>
      </c>
      <c r="W41" s="1"/>
    </row>
    <row r="42" spans="1:23" ht="14.15" customHeight="1" x14ac:dyDescent="0.35">
      <c r="A42" s="1">
        <v>41</v>
      </c>
      <c r="B42" s="4" t="s">
        <v>21</v>
      </c>
      <c r="C42" s="2">
        <v>260</v>
      </c>
      <c r="E42" s="1" t="s">
        <v>21</v>
      </c>
      <c r="F42" s="1" t="s">
        <v>102</v>
      </c>
      <c r="G42" s="1" t="s">
        <v>62</v>
      </c>
      <c r="H42" s="1">
        <v>98057</v>
      </c>
      <c r="I42" s="12" t="s">
        <v>195</v>
      </c>
      <c r="J42" s="12"/>
      <c r="K42" s="3">
        <v>1</v>
      </c>
      <c r="L42" s="68">
        <v>5</v>
      </c>
      <c r="M42" s="1">
        <v>9</v>
      </c>
      <c r="N42" s="1">
        <v>11</v>
      </c>
      <c r="O42" s="1" t="s">
        <v>133</v>
      </c>
      <c r="P42" s="1" t="s">
        <v>134</v>
      </c>
      <c r="Q42" s="1" t="s">
        <v>439</v>
      </c>
      <c r="R42" s="28">
        <v>47.468201000000001</v>
      </c>
      <c r="S42" s="42">
        <v>-122.2311</v>
      </c>
      <c r="T42" s="1" t="str">
        <f>Table1[[#This Row],[Abbreviated name]]&amp;" ("&amp;Table1[[#This Row],[Pitney Bowes Code]]&amp;")"</f>
        <v>King County Elections (260)</v>
      </c>
      <c r="U42" s="25">
        <v>10112</v>
      </c>
      <c r="V42" s="25">
        <v>284334</v>
      </c>
      <c r="W42" s="1"/>
    </row>
    <row r="43" spans="1:23" ht="14.15" customHeight="1" x14ac:dyDescent="0.35">
      <c r="A43" s="1">
        <v>42</v>
      </c>
      <c r="B43" s="4" t="s">
        <v>378</v>
      </c>
      <c r="C43" s="2">
        <v>265</v>
      </c>
      <c r="E43" s="1" t="s">
        <v>378</v>
      </c>
      <c r="F43" s="1" t="s">
        <v>341</v>
      </c>
      <c r="G43" s="1" t="s">
        <v>62</v>
      </c>
      <c r="H43" s="1">
        <v>98057</v>
      </c>
      <c r="I43" s="12" t="s">
        <v>331</v>
      </c>
      <c r="J43" s="12"/>
      <c r="K43" s="3"/>
      <c r="L43" s="68">
        <v>5</v>
      </c>
      <c r="M43" s="1">
        <v>9</v>
      </c>
      <c r="N43" s="1">
        <v>11</v>
      </c>
      <c r="O43" s="1" t="s">
        <v>133</v>
      </c>
      <c r="Q43" s="1" t="s">
        <v>439</v>
      </c>
      <c r="R43" s="28">
        <v>47.472475000000003</v>
      </c>
      <c r="S43" s="28">
        <v>-122.231602</v>
      </c>
      <c r="T43" s="10" t="str">
        <f>Table1[[#This Row],[Abbreviated name]]&amp;" ("&amp;Table1[[#This Row],[Pitney Bowes Code]]&amp;")"</f>
        <v>Powell Avenue (265)</v>
      </c>
      <c r="U43" s="25" t="s">
        <v>353</v>
      </c>
      <c r="V43" s="25" t="s">
        <v>351</v>
      </c>
      <c r="W43" s="1"/>
    </row>
    <row r="44" spans="1:23" ht="14.5" customHeight="1" x14ac:dyDescent="0.35">
      <c r="A44" s="1">
        <v>43</v>
      </c>
      <c r="B44" s="4" t="s">
        <v>22</v>
      </c>
      <c r="C44" s="2">
        <v>410</v>
      </c>
      <c r="E44" s="1" t="s">
        <v>22</v>
      </c>
      <c r="F44" s="1" t="s">
        <v>116</v>
      </c>
      <c r="G44" s="1" t="s">
        <v>62</v>
      </c>
      <c r="H44" s="1">
        <v>98056</v>
      </c>
      <c r="I44" s="12" t="s">
        <v>192</v>
      </c>
      <c r="J44" s="12"/>
      <c r="K44" s="1">
        <v>4</v>
      </c>
      <c r="L44" s="68">
        <v>5</v>
      </c>
      <c r="M44" s="1">
        <v>9</v>
      </c>
      <c r="N44" s="1">
        <v>11</v>
      </c>
      <c r="O44" s="1" t="s">
        <v>133</v>
      </c>
      <c r="P44" s="1" t="s">
        <v>132</v>
      </c>
      <c r="Q44" s="1" t="s">
        <v>439</v>
      </c>
      <c r="R44" s="28">
        <v>47.494851799999999</v>
      </c>
      <c r="S44" s="28">
        <v>-122.1753411</v>
      </c>
      <c r="T44" s="1" t="str">
        <f>Table1[[#This Row],[Abbreviated name]]&amp;" ("&amp;Table1[[#This Row],[Pitney Bowes Code]]&amp;")"</f>
        <v>Renton Public Health Center (410)</v>
      </c>
      <c r="U44" s="25">
        <v>10027</v>
      </c>
      <c r="V44" s="25">
        <v>245993</v>
      </c>
      <c r="W44" s="1"/>
    </row>
    <row r="45" spans="1:23" ht="14.15" customHeight="1" x14ac:dyDescent="0.35">
      <c r="A45" s="1">
        <v>44</v>
      </c>
      <c r="B45" s="28" t="s">
        <v>23</v>
      </c>
      <c r="C45" s="2">
        <v>420</v>
      </c>
      <c r="E45" s="1" t="s">
        <v>23</v>
      </c>
      <c r="F45" s="1" t="s">
        <v>117</v>
      </c>
      <c r="G45" s="1" t="s">
        <v>63</v>
      </c>
      <c r="H45" s="1">
        <v>98075</v>
      </c>
      <c r="I45" s="12" t="s">
        <v>195</v>
      </c>
      <c r="J45" s="12"/>
      <c r="K45" s="1">
        <v>2</v>
      </c>
      <c r="L45" s="68">
        <v>3</v>
      </c>
      <c r="M45" s="1">
        <v>8</v>
      </c>
      <c r="N45" s="1">
        <v>41</v>
      </c>
      <c r="P45" s="1" t="s">
        <v>134</v>
      </c>
      <c r="R45" s="28">
        <v>47.601314899999998</v>
      </c>
      <c r="S45" s="28">
        <v>-122.03618179999999</v>
      </c>
      <c r="T45" s="1" t="str">
        <f>Table1[[#This Row],[Abbreviated name]]&amp;" ("&amp;Table1[[#This Row],[Pitney Bowes Code]]&amp;")"</f>
        <v>Sammamish City Hall (420)</v>
      </c>
      <c r="U45" s="25" t="s">
        <v>281</v>
      </c>
      <c r="V45" s="25" t="s">
        <v>282</v>
      </c>
      <c r="W45" s="1"/>
    </row>
    <row r="46" spans="1:23" ht="15.5" x14ac:dyDescent="0.35">
      <c r="A46" s="1">
        <v>45</v>
      </c>
      <c r="B46" s="48" t="s">
        <v>422</v>
      </c>
      <c r="C46" s="46">
        <v>472</v>
      </c>
      <c r="D46" s="14"/>
      <c r="E46" s="14" t="s">
        <v>422</v>
      </c>
      <c r="F46" s="14" t="s">
        <v>425</v>
      </c>
      <c r="G46" s="14" t="s">
        <v>63</v>
      </c>
      <c r="H46" s="14">
        <v>98075</v>
      </c>
      <c r="I46" s="47" t="s">
        <v>424</v>
      </c>
      <c r="J46" s="47"/>
      <c r="K46" s="14"/>
      <c r="L46" s="68">
        <v>3</v>
      </c>
      <c r="M46" s="14">
        <v>8</v>
      </c>
      <c r="N46" s="14">
        <v>41</v>
      </c>
      <c r="O46" s="14"/>
      <c r="P46" s="14"/>
      <c r="Q46" s="14"/>
      <c r="R46" s="63">
        <v>47.58229</v>
      </c>
      <c r="S46" s="63">
        <v>-122.03659</v>
      </c>
      <c r="T46" s="49" t="str">
        <f>Table1[[#This Row],[Abbreviated name]]&amp;" ("&amp;Table1[[#This Row],[Pitney Bowes Code]]&amp;")"</f>
        <v>South Sammamish Park &amp; Ride (472)</v>
      </c>
      <c r="U46" s="50" t="s">
        <v>430</v>
      </c>
      <c r="V46" s="50" t="s">
        <v>431</v>
      </c>
      <c r="W46" s="1"/>
    </row>
    <row r="47" spans="1:23" x14ac:dyDescent="0.35">
      <c r="A47" s="1">
        <v>46</v>
      </c>
      <c r="B47" s="28" t="s">
        <v>188</v>
      </c>
      <c r="C47" s="2">
        <v>15</v>
      </c>
      <c r="E47" s="1" t="s">
        <v>188</v>
      </c>
      <c r="F47" s="1" t="s">
        <v>189</v>
      </c>
      <c r="G47" s="1" t="s">
        <v>64</v>
      </c>
      <c r="H47" s="1">
        <v>98188</v>
      </c>
      <c r="I47" s="12" t="s">
        <v>203</v>
      </c>
      <c r="J47" s="12"/>
      <c r="K47" s="10">
        <v>4</v>
      </c>
      <c r="L47" s="68">
        <v>5</v>
      </c>
      <c r="M47" s="1">
        <v>9</v>
      </c>
      <c r="N47" s="1">
        <v>33</v>
      </c>
      <c r="R47" s="28">
        <v>47.423299999999998</v>
      </c>
      <c r="S47" s="28">
        <v>-122.298</v>
      </c>
      <c r="T47" s="1" t="str">
        <f>Table1[[#This Row],[Abbreviated name]]&amp;" ("&amp;"0"&amp;Table1[[#This Row],[Pitney Bowes Code]]&amp;")"</f>
        <v>Angle Lake Transit Station (015)</v>
      </c>
      <c r="U47" s="25" t="s">
        <v>314</v>
      </c>
      <c r="V47" s="25" t="s">
        <v>315</v>
      </c>
      <c r="W47" s="1"/>
    </row>
    <row r="48" spans="1:23" x14ac:dyDescent="0.35">
      <c r="A48" s="1">
        <v>47</v>
      </c>
      <c r="B48" s="28" t="s">
        <v>24</v>
      </c>
      <c r="C48" s="2">
        <v>510</v>
      </c>
      <c r="E48" s="1" t="s">
        <v>24</v>
      </c>
      <c r="F48" s="1" t="s">
        <v>124</v>
      </c>
      <c r="G48" s="1" t="s">
        <v>64</v>
      </c>
      <c r="H48" s="1">
        <v>98188</v>
      </c>
      <c r="I48" s="12" t="s">
        <v>195</v>
      </c>
      <c r="J48" s="12"/>
      <c r="K48" s="1">
        <v>4</v>
      </c>
      <c r="L48" s="68">
        <v>5</v>
      </c>
      <c r="M48" s="1">
        <v>9</v>
      </c>
      <c r="N48" s="1">
        <v>33</v>
      </c>
      <c r="P48" s="1" t="s">
        <v>134</v>
      </c>
      <c r="R48" s="28">
        <v>47.443102799999998</v>
      </c>
      <c r="S48" s="28">
        <v>-122.2736096</v>
      </c>
      <c r="T48" s="1" t="str">
        <f>Table1[[#This Row],[Abbreviated name]]&amp;" ("&amp;Table1[[#This Row],[Pitney Bowes Code]]&amp;")"</f>
        <v>Valley View Library (510)</v>
      </c>
      <c r="U48" s="25" t="s">
        <v>305</v>
      </c>
      <c r="V48" s="25" t="s">
        <v>306</v>
      </c>
      <c r="W48" s="1"/>
    </row>
    <row r="49" spans="1:524" x14ac:dyDescent="0.35">
      <c r="A49" s="1">
        <v>48</v>
      </c>
      <c r="B49" s="14" t="s">
        <v>428</v>
      </c>
      <c r="C49" s="46">
        <v>2</v>
      </c>
      <c r="D49" s="64"/>
      <c r="E49" s="14" t="s">
        <v>428</v>
      </c>
      <c r="F49" s="14" t="s">
        <v>429</v>
      </c>
      <c r="G49" s="14" t="s">
        <v>70</v>
      </c>
      <c r="H49" s="14">
        <v>98122</v>
      </c>
      <c r="I49" s="47" t="s">
        <v>424</v>
      </c>
      <c r="J49" s="47"/>
      <c r="K49" s="14"/>
      <c r="L49" s="68">
        <v>8</v>
      </c>
      <c r="M49" s="14">
        <v>9</v>
      </c>
      <c r="N49" s="14">
        <v>37</v>
      </c>
      <c r="O49" s="14"/>
      <c r="P49" s="14"/>
      <c r="Q49" s="14"/>
      <c r="R49" s="14">
        <v>47.607978000000003</v>
      </c>
      <c r="S49" s="14">
        <v>-122.315838</v>
      </c>
      <c r="T49" s="14" t="str">
        <f>Table1[[#This Row],[Abbreviated name]]&amp;" ("&amp;"00"&amp;Table1[[#This Row],[Pitney Bowes Code]]&amp;")"</f>
        <v>12th &amp; Cherry (002)</v>
      </c>
      <c r="U49" s="50" t="s">
        <v>432</v>
      </c>
      <c r="V49" s="50" t="s">
        <v>433</v>
      </c>
      <c r="W49" s="1"/>
    </row>
    <row r="50" spans="1:524" x14ac:dyDescent="0.35">
      <c r="A50" s="1">
        <v>49</v>
      </c>
      <c r="B50" s="28" t="s">
        <v>177</v>
      </c>
      <c r="C50" s="2">
        <v>5</v>
      </c>
      <c r="E50" s="1" t="s">
        <v>177</v>
      </c>
      <c r="F50" s="1" t="s">
        <v>164</v>
      </c>
      <c r="G50" s="1" t="s">
        <v>70</v>
      </c>
      <c r="H50" s="1">
        <v>98116</v>
      </c>
      <c r="I50" s="12" t="s">
        <v>191</v>
      </c>
      <c r="J50" s="12"/>
      <c r="K50" s="1">
        <v>2</v>
      </c>
      <c r="L50" s="68">
        <v>8</v>
      </c>
      <c r="M50" s="1">
        <v>7</v>
      </c>
      <c r="N50" s="1">
        <v>34</v>
      </c>
      <c r="P50" s="1" t="s">
        <v>134</v>
      </c>
      <c r="R50" s="28">
        <v>47.561067000000001</v>
      </c>
      <c r="S50" s="28">
        <v>-122.387843</v>
      </c>
      <c r="T50" s="1" t="str">
        <f>Table1[[#This Row],[Abbreviated name]]&amp;" ("&amp;"00"&amp;Table1[[#This Row],[Pitney Bowes Code]]&amp;")"</f>
        <v>Alaska Junction (005)</v>
      </c>
      <c r="U50" s="25" t="s">
        <v>208</v>
      </c>
      <c r="V50" s="25" t="s">
        <v>209</v>
      </c>
      <c r="W50" s="1"/>
    </row>
    <row r="51" spans="1:524" x14ac:dyDescent="0.35">
      <c r="A51" s="1">
        <v>50</v>
      </c>
      <c r="B51" s="28" t="s">
        <v>417</v>
      </c>
      <c r="C51" s="2">
        <v>30</v>
      </c>
      <c r="E51" s="1" t="s">
        <v>30</v>
      </c>
      <c r="F51" s="1" t="s">
        <v>81</v>
      </c>
      <c r="G51" s="1" t="s">
        <v>70</v>
      </c>
      <c r="H51" s="1">
        <v>98107</v>
      </c>
      <c r="I51" s="65" t="s">
        <v>194</v>
      </c>
      <c r="J51" s="65"/>
      <c r="K51" s="1">
        <v>1</v>
      </c>
      <c r="L51" s="68">
        <v>4</v>
      </c>
      <c r="M51" s="1">
        <v>7</v>
      </c>
      <c r="N51" s="1">
        <v>36</v>
      </c>
      <c r="P51" s="1" t="s">
        <v>134</v>
      </c>
      <c r="R51" s="28">
        <v>47.669986999999999</v>
      </c>
      <c r="S51" s="28">
        <v>-122.38466200000001</v>
      </c>
      <c r="T51" s="1" t="str">
        <f>Table1[[#This Row],[Abbreviated name]]&amp;" ("&amp;"0"&amp;Table1[[#This Row],[Pitney Bowes Code]]&amp;")"</f>
        <v>Ballard Branch Library (030)</v>
      </c>
      <c r="U51" s="25" t="s">
        <v>216</v>
      </c>
      <c r="V51" s="25" t="s">
        <v>217</v>
      </c>
      <c r="W51" s="1"/>
    </row>
    <row r="52" spans="1:524" x14ac:dyDescent="0.35">
      <c r="A52" s="1">
        <v>51</v>
      </c>
      <c r="B52" s="28" t="s">
        <v>31</v>
      </c>
      <c r="C52" s="2">
        <v>40</v>
      </c>
      <c r="E52" s="1" t="s">
        <v>31</v>
      </c>
      <c r="F52" s="1" t="s">
        <v>82</v>
      </c>
      <c r="G52" s="1" t="s">
        <v>70</v>
      </c>
      <c r="H52" s="1">
        <v>98144</v>
      </c>
      <c r="I52" s="12" t="s">
        <v>192</v>
      </c>
      <c r="J52" s="12"/>
      <c r="K52" s="1">
        <v>4</v>
      </c>
      <c r="L52" s="68">
        <v>2</v>
      </c>
      <c r="M52" s="1">
        <v>9</v>
      </c>
      <c r="N52" s="1">
        <v>37</v>
      </c>
      <c r="P52" s="1" t="s">
        <v>134</v>
      </c>
      <c r="R52" s="28">
        <v>47.577831000000003</v>
      </c>
      <c r="S52" s="28">
        <v>-122.31187799999999</v>
      </c>
      <c r="T52" s="1" t="str">
        <f>Table1[[#This Row],[Abbreviated name]]&amp;" ("&amp;"0"&amp;Table1[[#This Row],[Pitney Bowes Code]]&amp;")"</f>
        <v>Beacon Hill Library (040)</v>
      </c>
      <c r="U52" s="25" t="s">
        <v>218</v>
      </c>
      <c r="V52" s="25" t="s">
        <v>219</v>
      </c>
      <c r="W52" s="1"/>
    </row>
    <row r="53" spans="1:524" x14ac:dyDescent="0.35">
      <c r="A53" s="1">
        <v>52</v>
      </c>
      <c r="B53" s="28" t="s">
        <v>33</v>
      </c>
      <c r="C53" s="2">
        <v>80</v>
      </c>
      <c r="E53" s="1" t="s">
        <v>33</v>
      </c>
      <c r="F53" s="1" t="s">
        <v>86</v>
      </c>
      <c r="G53" s="1" t="s">
        <v>70</v>
      </c>
      <c r="H53" s="1">
        <v>98133</v>
      </c>
      <c r="I53" s="12" t="s">
        <v>195</v>
      </c>
      <c r="J53" s="12"/>
      <c r="K53" s="1">
        <v>2</v>
      </c>
      <c r="L53" s="68">
        <v>4</v>
      </c>
      <c r="M53" s="1">
        <v>7</v>
      </c>
      <c r="N53" s="1">
        <v>32</v>
      </c>
      <c r="P53" s="1" t="s">
        <v>134</v>
      </c>
      <c r="R53" s="28">
        <v>47.723081000000001</v>
      </c>
      <c r="S53" s="28">
        <v>-122.35628800000001</v>
      </c>
      <c r="T53" s="1" t="str">
        <f>Table1[[#This Row],[Abbreviated name]]&amp;" ("&amp;"0"&amp;Table1[[#This Row],[Pitney Bowes Code]]&amp;")"</f>
        <v>Broadview Library (080)</v>
      </c>
      <c r="U53" s="25" t="s">
        <v>225</v>
      </c>
      <c r="V53" s="25" t="s">
        <v>226</v>
      </c>
      <c r="W53" s="1"/>
    </row>
    <row r="54" spans="1:524" x14ac:dyDescent="0.35">
      <c r="A54" s="1">
        <v>53</v>
      </c>
      <c r="B54" s="28" t="s">
        <v>34</v>
      </c>
      <c r="C54" s="2">
        <v>170</v>
      </c>
      <c r="E54" s="1" t="s">
        <v>34</v>
      </c>
      <c r="F54" s="1" t="s">
        <v>93</v>
      </c>
      <c r="G54" s="1" t="s">
        <v>70</v>
      </c>
      <c r="H54" s="1">
        <v>98122</v>
      </c>
      <c r="I54" s="12" t="s">
        <v>196</v>
      </c>
      <c r="J54" s="12"/>
      <c r="K54" s="1">
        <v>4</v>
      </c>
      <c r="L54" s="68">
        <v>2</v>
      </c>
      <c r="M54" s="1">
        <v>9</v>
      </c>
      <c r="N54" s="1">
        <v>37</v>
      </c>
      <c r="P54" s="1" t="s">
        <v>134</v>
      </c>
      <c r="R54" s="28">
        <v>47.607722000000003</v>
      </c>
      <c r="S54" s="28">
        <v>-122.301638</v>
      </c>
      <c r="T54" s="1" t="str">
        <f>Table1[[#This Row],[Abbreviated name]]&amp;" ("&amp;Table1[[#This Row],[Pitney Bowes Code]]&amp;")"</f>
        <v>Garfield Community Center (170)</v>
      </c>
      <c r="U54" s="25" t="s">
        <v>242</v>
      </c>
      <c r="V54" s="25" t="s">
        <v>243</v>
      </c>
      <c r="W54" s="1"/>
    </row>
    <row r="55" spans="1:524" x14ac:dyDescent="0.35">
      <c r="A55" s="1">
        <v>54</v>
      </c>
      <c r="B55" s="28" t="s">
        <v>35</v>
      </c>
      <c r="C55" s="2">
        <v>180</v>
      </c>
      <c r="E55" s="1" t="s">
        <v>35</v>
      </c>
      <c r="F55" s="1" t="s">
        <v>94</v>
      </c>
      <c r="G55" s="1" t="s">
        <v>70</v>
      </c>
      <c r="H55" s="1">
        <v>98115</v>
      </c>
      <c r="I55" s="12" t="s">
        <v>192</v>
      </c>
      <c r="J55" s="12"/>
      <c r="K55" s="1">
        <v>1</v>
      </c>
      <c r="L55" s="68">
        <v>4</v>
      </c>
      <c r="M55" s="1">
        <v>7</v>
      </c>
      <c r="N55" s="1">
        <v>46</v>
      </c>
      <c r="P55" s="1" t="s">
        <v>132</v>
      </c>
      <c r="R55" s="28">
        <v>47.680322400000001</v>
      </c>
      <c r="S55" s="28">
        <v>-122.32830079999999</v>
      </c>
      <c r="T55" s="1" t="str">
        <f>Table1[[#This Row],[Abbreviated name]]&amp;" ("&amp;Table1[[#This Row],[Pitney Bowes Code]]&amp;")"</f>
        <v>Green Lake Community Center (180)</v>
      </c>
      <c r="U55" s="25" t="s">
        <v>244</v>
      </c>
      <c r="V55" s="25" t="s">
        <v>245</v>
      </c>
      <c r="W55" s="1"/>
    </row>
    <row r="56" spans="1:524" x14ac:dyDescent="0.35">
      <c r="A56" s="1">
        <v>55</v>
      </c>
      <c r="B56" s="28" t="s">
        <v>36</v>
      </c>
      <c r="C56" s="2">
        <v>190</v>
      </c>
      <c r="E56" s="1" t="s">
        <v>36</v>
      </c>
      <c r="F56" s="1" t="s">
        <v>95</v>
      </c>
      <c r="G56" s="1" t="s">
        <v>70</v>
      </c>
      <c r="H56" s="1">
        <v>98126</v>
      </c>
      <c r="I56" s="12" t="s">
        <v>195</v>
      </c>
      <c r="J56" s="12"/>
      <c r="K56" s="1">
        <v>1</v>
      </c>
      <c r="L56" s="68">
        <v>8</v>
      </c>
      <c r="M56" s="1">
        <v>7</v>
      </c>
      <c r="N56" s="1">
        <v>34</v>
      </c>
      <c r="P56" s="1" t="s">
        <v>134</v>
      </c>
      <c r="R56" s="28">
        <v>47.548219000000003</v>
      </c>
      <c r="S56" s="28">
        <v>-122.37561599999999</v>
      </c>
      <c r="T56" s="1" t="str">
        <f>Table1[[#This Row],[Abbreviated name]]&amp;" ("&amp;Table1[[#This Row],[Pitney Bowes Code]]&amp;")"</f>
        <v>High Point Library (190)</v>
      </c>
      <c r="U56" s="25" t="s">
        <v>246</v>
      </c>
      <c r="V56" s="25" t="s">
        <v>247</v>
      </c>
      <c r="W56" s="1"/>
    </row>
    <row r="57" spans="1:524" x14ac:dyDescent="0.35">
      <c r="A57" s="1">
        <v>56</v>
      </c>
      <c r="B57" s="28" t="s">
        <v>382</v>
      </c>
      <c r="C57" s="2">
        <v>263</v>
      </c>
      <c r="D57" s="1" t="s">
        <v>384</v>
      </c>
      <c r="E57" s="1" t="s">
        <v>382</v>
      </c>
      <c r="F57" s="1" t="s">
        <v>392</v>
      </c>
      <c r="G57" s="1" t="s">
        <v>70</v>
      </c>
      <c r="H57" s="1">
        <v>98104</v>
      </c>
      <c r="I57" s="12" t="s">
        <v>381</v>
      </c>
      <c r="J57" s="12"/>
      <c r="K57" s="3"/>
      <c r="L57" s="68">
        <v>8</v>
      </c>
      <c r="M57" s="1">
        <v>7</v>
      </c>
      <c r="N57" s="1">
        <v>34</v>
      </c>
      <c r="R57" s="28">
        <v>47.598579999999998</v>
      </c>
      <c r="S57" s="42">
        <v>-122.33144</v>
      </c>
      <c r="T57" s="10" t="str">
        <f>Table1[[#This Row],[Abbreviated name]]&amp;" ("&amp;Table1[[#This Row],[Pitney Bowes Code]]&amp;")"</f>
        <v>King Street Box (263)</v>
      </c>
      <c r="U57" s="25"/>
      <c r="V57" s="25"/>
      <c r="W57" s="1"/>
    </row>
    <row r="58" spans="1:524" x14ac:dyDescent="0.35">
      <c r="A58" s="1">
        <v>57</v>
      </c>
      <c r="B58" s="28" t="s">
        <v>38</v>
      </c>
      <c r="C58" s="2">
        <v>290</v>
      </c>
      <c r="E58" s="1" t="s">
        <v>38</v>
      </c>
      <c r="F58" s="1" t="s">
        <v>105</v>
      </c>
      <c r="G58" s="1" t="s">
        <v>70</v>
      </c>
      <c r="H58" s="1">
        <v>98125</v>
      </c>
      <c r="I58" s="12" t="s">
        <v>195</v>
      </c>
      <c r="J58" s="12"/>
      <c r="K58" s="1">
        <v>1</v>
      </c>
      <c r="L58" s="68">
        <v>1</v>
      </c>
      <c r="M58" s="1">
        <v>7</v>
      </c>
      <c r="N58" s="1">
        <v>46</v>
      </c>
      <c r="P58" s="1" t="s">
        <v>134</v>
      </c>
      <c r="R58" s="28">
        <v>47.720063000000003</v>
      </c>
      <c r="S58" s="28">
        <v>-122.29783399999999</v>
      </c>
      <c r="T58" s="1" t="str">
        <f>Table1[[#This Row],[Abbreviated name]]&amp;" ("&amp;Table1[[#This Row],[Pitney Bowes Code]]&amp;")"</f>
        <v>Lake City Library (290)</v>
      </c>
      <c r="U58" s="25">
        <v>10015</v>
      </c>
      <c r="V58" s="25" t="s">
        <v>259</v>
      </c>
      <c r="W58" s="1"/>
    </row>
    <row r="59" spans="1:524" x14ac:dyDescent="0.35">
      <c r="A59" s="1">
        <v>58</v>
      </c>
      <c r="B59" s="4" t="s">
        <v>39</v>
      </c>
      <c r="C59" s="2">
        <v>310</v>
      </c>
      <c r="E59" s="1" t="s">
        <v>39</v>
      </c>
      <c r="F59" s="1" t="s">
        <v>107</v>
      </c>
      <c r="G59" s="1" t="s">
        <v>70</v>
      </c>
      <c r="H59" s="1">
        <v>98199</v>
      </c>
      <c r="I59" s="12" t="s">
        <v>196</v>
      </c>
      <c r="J59" s="12"/>
      <c r="K59" s="1">
        <v>4</v>
      </c>
      <c r="L59" s="68">
        <v>4</v>
      </c>
      <c r="M59" s="1">
        <v>7</v>
      </c>
      <c r="N59" s="1">
        <v>36</v>
      </c>
      <c r="O59" s="1" t="s">
        <v>133</v>
      </c>
      <c r="P59" s="1" t="s">
        <v>134</v>
      </c>
      <c r="Q59" s="1" t="s">
        <v>439</v>
      </c>
      <c r="R59" s="28">
        <v>47.634751600000001</v>
      </c>
      <c r="S59" s="28">
        <v>-122.39784899999999</v>
      </c>
      <c r="T59" s="1" t="str">
        <f>Table1[[#This Row],[Abbreviated name]]&amp;" ("&amp;Table1[[#This Row],[Pitney Bowes Code]]&amp;")"</f>
        <v>Magnolia Park (310)</v>
      </c>
      <c r="U59" s="25" t="s">
        <v>261</v>
      </c>
      <c r="V59" s="25" t="s">
        <v>262</v>
      </c>
      <c r="W59" s="1"/>
    </row>
    <row r="60" spans="1:524" x14ac:dyDescent="0.35">
      <c r="A60" s="1">
        <v>59</v>
      </c>
      <c r="B60" s="4" t="s">
        <v>405</v>
      </c>
      <c r="C60" s="2">
        <v>305</v>
      </c>
      <c r="E60" s="1" t="s">
        <v>165</v>
      </c>
      <c r="F60" s="1" t="s">
        <v>166</v>
      </c>
      <c r="G60" s="1" t="s">
        <v>70</v>
      </c>
      <c r="H60" s="1">
        <v>98115</v>
      </c>
      <c r="I60" s="65" t="s">
        <v>191</v>
      </c>
      <c r="J60" s="65"/>
      <c r="K60" s="1">
        <v>4</v>
      </c>
      <c r="L60" s="68">
        <v>1</v>
      </c>
      <c r="M60" s="1">
        <v>7</v>
      </c>
      <c r="N60" s="1">
        <v>46</v>
      </c>
      <c r="O60" s="1" t="s">
        <v>133</v>
      </c>
      <c r="P60" s="1" t="s">
        <v>132</v>
      </c>
      <c r="Q60" s="1" t="s">
        <v>439</v>
      </c>
      <c r="R60" s="28">
        <v>47.682721000000001</v>
      </c>
      <c r="S60" s="28">
        <v>-122.260199</v>
      </c>
      <c r="T60" s="1" t="str">
        <f>Table1[[#This Row],[Abbreviated name]]&amp;" ("&amp;Table1[[#This Row],[Pitney Bowes Code]]&amp;")"</f>
        <v>Magnuson Park (305)</v>
      </c>
      <c r="U60" s="25" t="s">
        <v>263</v>
      </c>
      <c r="V60" s="25" t="s">
        <v>264</v>
      </c>
      <c r="W60" s="1"/>
    </row>
    <row r="61" spans="1:524" x14ac:dyDescent="0.35">
      <c r="A61" s="1">
        <v>60</v>
      </c>
      <c r="B61" s="28" t="s">
        <v>406</v>
      </c>
      <c r="C61" s="2">
        <v>325</v>
      </c>
      <c r="E61" s="1" t="s">
        <v>387</v>
      </c>
      <c r="F61" s="1" t="s">
        <v>388</v>
      </c>
      <c r="G61" s="1" t="s">
        <v>70</v>
      </c>
      <c r="H61" s="1">
        <v>98109</v>
      </c>
      <c r="I61" s="12" t="s">
        <v>381</v>
      </c>
      <c r="J61" s="12"/>
      <c r="K61" s="1"/>
      <c r="L61" s="68">
        <v>4</v>
      </c>
      <c r="M61" s="1">
        <v>7</v>
      </c>
      <c r="N61" s="1">
        <v>36</v>
      </c>
      <c r="R61" s="1">
        <v>47.624719033715699</v>
      </c>
      <c r="S61" s="1">
        <v>-122.355330941999</v>
      </c>
      <c r="T61" s="10" t="str">
        <f>Table1[[#This Row],[Abbreviated name]]&amp;" ("&amp;Table1[[#This Row],[Pitney Bowes Code]]&amp;")"</f>
        <v>Metropolitan Market - Queen Anne (325)</v>
      </c>
      <c r="U61" s="25"/>
      <c r="V61" s="25"/>
      <c r="W61" s="1"/>
    </row>
    <row r="62" spans="1:524" s="14" customFormat="1" ht="15.5" x14ac:dyDescent="0.35">
      <c r="A62" s="1">
        <v>61</v>
      </c>
      <c r="B62" s="48" t="s">
        <v>421</v>
      </c>
      <c r="C62" s="46">
        <v>327</v>
      </c>
      <c r="E62" s="14" t="s">
        <v>421</v>
      </c>
      <c r="F62" s="14" t="s">
        <v>423</v>
      </c>
      <c r="G62" s="14" t="s">
        <v>70</v>
      </c>
      <c r="H62" s="14">
        <v>98136</v>
      </c>
      <c r="I62" s="47" t="s">
        <v>424</v>
      </c>
      <c r="J62" s="47"/>
      <c r="L62" s="68">
        <v>8</v>
      </c>
      <c r="M62" s="14">
        <v>7</v>
      </c>
      <c r="N62" s="14">
        <v>34</v>
      </c>
      <c r="R62" s="63">
        <v>47.545760000000001</v>
      </c>
      <c r="S62" s="63">
        <v>-122.38733999999999</v>
      </c>
      <c r="T62" s="49" t="str">
        <f>Table1[[#This Row],[Abbreviated name]]&amp;" ("&amp;Table1[[#This Row],[Pitney Bowes Code]]&amp;")"</f>
        <v>Morgan Junction Park (327)</v>
      </c>
      <c r="U62" s="50" t="s">
        <v>426</v>
      </c>
      <c r="V62" s="50" t="s">
        <v>427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</row>
    <row r="63" spans="1:524" x14ac:dyDescent="0.35">
      <c r="A63" s="1">
        <v>62</v>
      </c>
      <c r="B63" s="28" t="s">
        <v>74</v>
      </c>
      <c r="C63" s="2">
        <v>350</v>
      </c>
      <c r="E63" s="1" t="s">
        <v>74</v>
      </c>
      <c r="F63" s="1" t="s">
        <v>111</v>
      </c>
      <c r="G63" s="1" t="s">
        <v>70</v>
      </c>
      <c r="H63" s="1">
        <v>98118</v>
      </c>
      <c r="I63" s="12" t="s">
        <v>195</v>
      </c>
      <c r="J63" s="12"/>
      <c r="K63" s="1">
        <v>4</v>
      </c>
      <c r="L63" s="68">
        <v>2</v>
      </c>
      <c r="M63" s="1">
        <v>9</v>
      </c>
      <c r="N63" s="1">
        <v>37</v>
      </c>
      <c r="P63" s="1" t="s">
        <v>134</v>
      </c>
      <c r="R63" s="28">
        <v>47.539313</v>
      </c>
      <c r="S63" s="28">
        <v>-122.290171</v>
      </c>
      <c r="T63" s="1" t="str">
        <f>Table1[[#This Row],[Abbreviated name]]&amp;" ("&amp;Table1[[#This Row],[Pitney Bowes Code]]&amp;")"</f>
        <v>NewHolly Neighborhood Campus (350)</v>
      </c>
      <c r="U63" s="25" t="s">
        <v>350</v>
      </c>
      <c r="V63" s="25" t="s">
        <v>352</v>
      </c>
      <c r="W63" s="1"/>
    </row>
    <row r="64" spans="1:524" x14ac:dyDescent="0.35">
      <c r="A64" s="1">
        <v>63</v>
      </c>
      <c r="B64" s="28" t="s">
        <v>358</v>
      </c>
      <c r="C64" s="2">
        <v>360</v>
      </c>
      <c r="D64" s="1" t="s">
        <v>143</v>
      </c>
      <c r="E64" s="1" t="s">
        <v>142</v>
      </c>
      <c r="F64" s="1" t="s">
        <v>112</v>
      </c>
      <c r="G64" s="1" t="s">
        <v>70</v>
      </c>
      <c r="H64" s="1">
        <v>98103</v>
      </c>
      <c r="I64" s="12" t="s">
        <v>196</v>
      </c>
      <c r="J64" s="12"/>
      <c r="K64" s="1">
        <v>4</v>
      </c>
      <c r="L64" s="68">
        <v>4</v>
      </c>
      <c r="M64" s="1">
        <v>7</v>
      </c>
      <c r="N64" s="1">
        <v>46</v>
      </c>
      <c r="P64" s="1" t="s">
        <v>134</v>
      </c>
      <c r="R64" s="28">
        <v>47.698106299999999</v>
      </c>
      <c r="S64" s="28">
        <v>-122.3343388</v>
      </c>
      <c r="T64" s="1" t="str">
        <f>Table1[[#This Row],[Abbreviated name]]&amp;" ("&amp;Table1[[#This Row],[Pitney Bowes Code]]&amp;")"</f>
        <v>North Seattle College  (360)</v>
      </c>
      <c r="U64" s="25" t="s">
        <v>271</v>
      </c>
      <c r="V64" s="25" t="s">
        <v>272</v>
      </c>
      <c r="W64" s="1"/>
    </row>
    <row r="65" spans="1:23" x14ac:dyDescent="0.35">
      <c r="A65" s="1">
        <v>64</v>
      </c>
      <c r="B65" s="28" t="s">
        <v>75</v>
      </c>
      <c r="C65" s="2">
        <v>370</v>
      </c>
      <c r="E65" s="1" t="s">
        <v>75</v>
      </c>
      <c r="F65" s="1" t="s">
        <v>113</v>
      </c>
      <c r="G65" s="1" t="s">
        <v>70</v>
      </c>
      <c r="H65" s="1">
        <v>98118</v>
      </c>
      <c r="I65" s="12" t="s">
        <v>196</v>
      </c>
      <c r="J65" s="12"/>
      <c r="K65" s="1">
        <v>4</v>
      </c>
      <c r="L65" s="68">
        <v>2</v>
      </c>
      <c r="M65" s="1">
        <v>9</v>
      </c>
      <c r="N65" s="1">
        <v>37</v>
      </c>
      <c r="P65" s="1" t="s">
        <v>134</v>
      </c>
      <c r="R65" s="28">
        <v>47.524889000000002</v>
      </c>
      <c r="S65" s="28">
        <v>-122.270284</v>
      </c>
      <c r="T65" s="1" t="str">
        <f>Table1[[#This Row],[Abbreviated name]]&amp;" ("&amp;Table1[[#This Row],[Pitney Bowes Code]]&amp;")"</f>
        <v>Rainier Beach Community Center (370)</v>
      </c>
      <c r="U65" s="25" t="s">
        <v>273</v>
      </c>
      <c r="V65" s="25" t="s">
        <v>274</v>
      </c>
      <c r="W65" s="1"/>
    </row>
    <row r="66" spans="1:23" x14ac:dyDescent="0.35">
      <c r="A66" s="1">
        <v>65</v>
      </c>
      <c r="B66" s="28" t="s">
        <v>40</v>
      </c>
      <c r="C66" s="2">
        <v>380</v>
      </c>
      <c r="E66" s="1" t="s">
        <v>40</v>
      </c>
      <c r="F66" s="1" t="s">
        <v>361</v>
      </c>
      <c r="G66" s="1" t="s">
        <v>70</v>
      </c>
      <c r="H66" s="1">
        <v>98118</v>
      </c>
      <c r="I66" s="12" t="s">
        <v>192</v>
      </c>
      <c r="J66" s="12"/>
      <c r="K66" s="1">
        <v>4</v>
      </c>
      <c r="L66" s="68">
        <v>2</v>
      </c>
      <c r="M66" s="1">
        <v>9</v>
      </c>
      <c r="N66" s="1">
        <v>37</v>
      </c>
      <c r="P66" s="1" t="s">
        <v>134</v>
      </c>
      <c r="R66" s="28">
        <v>47.561540999999998</v>
      </c>
      <c r="S66" s="28">
        <v>-122.28479900000001</v>
      </c>
      <c r="T66" s="1" t="str">
        <f>Table1[[#This Row],[Abbreviated name]]&amp;" ("&amp;Table1[[#This Row],[Pitney Bowes Code]]&amp;")"</f>
        <v>Rainier Community Center (380)</v>
      </c>
      <c r="U66" s="25" t="s">
        <v>275</v>
      </c>
      <c r="V66" s="25" t="s">
        <v>276</v>
      </c>
      <c r="W66" s="1"/>
    </row>
    <row r="67" spans="1:23" x14ac:dyDescent="0.35">
      <c r="A67" s="1">
        <v>66</v>
      </c>
      <c r="B67" s="45" t="s">
        <v>407</v>
      </c>
      <c r="C67" s="46">
        <v>412</v>
      </c>
      <c r="D67" s="14" t="s">
        <v>451</v>
      </c>
      <c r="E67" s="14" t="s">
        <v>395</v>
      </c>
      <c r="F67" s="14" t="s">
        <v>398</v>
      </c>
      <c r="G67" s="14" t="s">
        <v>70</v>
      </c>
      <c r="H67" s="14">
        <v>98117</v>
      </c>
      <c r="I67" s="47" t="s">
        <v>399</v>
      </c>
      <c r="J67" s="47"/>
      <c r="K67" s="14"/>
      <c r="L67" s="68">
        <v>4</v>
      </c>
      <c r="M67" s="14">
        <v>7</v>
      </c>
      <c r="N67" s="14">
        <v>36</v>
      </c>
      <c r="O67" s="14"/>
      <c r="P67" s="14"/>
      <c r="Q67" s="14"/>
      <c r="R67" s="48">
        <v>47.688833000000002</v>
      </c>
      <c r="S67" s="48">
        <v>-122.37564999999999</v>
      </c>
      <c r="T67" s="49" t="str">
        <f>Table1[[#This Row],[Abbreviated name]]&amp;" ("&amp;Table1[[#This Row],[Pitney Bowes Code]]&amp;")"</f>
        <v>Safeway - Crown Hill (412)</v>
      </c>
      <c r="U67" s="50" t="s">
        <v>400</v>
      </c>
      <c r="V67" s="50" t="s">
        <v>401</v>
      </c>
      <c r="W67" s="1"/>
    </row>
    <row r="68" spans="1:23" x14ac:dyDescent="0.35">
      <c r="A68" s="1">
        <v>67</v>
      </c>
      <c r="B68" s="28" t="s">
        <v>180</v>
      </c>
      <c r="C68" s="2">
        <v>430</v>
      </c>
      <c r="D68" s="1" t="s">
        <v>413</v>
      </c>
      <c r="E68" s="1" t="s">
        <v>180</v>
      </c>
      <c r="F68" s="1" t="s">
        <v>118</v>
      </c>
      <c r="G68" s="1" t="s">
        <v>70</v>
      </c>
      <c r="H68" s="1">
        <v>98122</v>
      </c>
      <c r="I68" s="12" t="s">
        <v>192</v>
      </c>
      <c r="J68" s="12"/>
      <c r="K68" s="1">
        <v>1</v>
      </c>
      <c r="L68" s="68">
        <v>8</v>
      </c>
      <c r="M68" s="1">
        <v>7</v>
      </c>
      <c r="N68" s="1">
        <v>43</v>
      </c>
      <c r="P68" s="1" t="s">
        <v>134</v>
      </c>
      <c r="R68" s="28">
        <v>47.617621</v>
      </c>
      <c r="S68" s="28">
        <v>-122.32102</v>
      </c>
      <c r="T68" s="1" t="str">
        <f>Table1[[#This Row],[Abbreviated name]]&amp;" ("&amp;Table1[[#This Row],[Pitney Bowes Code]]&amp;")"</f>
        <v>Seattle Central College (430)</v>
      </c>
      <c r="U68" s="25" t="s">
        <v>283</v>
      </c>
      <c r="V68" s="25" t="s">
        <v>284</v>
      </c>
      <c r="W68" s="1"/>
    </row>
    <row r="69" spans="1:23" x14ac:dyDescent="0.35">
      <c r="A69" s="1">
        <v>68</v>
      </c>
      <c r="B69" s="4" t="s">
        <v>171</v>
      </c>
      <c r="C69" s="2">
        <v>435</v>
      </c>
      <c r="E69" s="1" t="s">
        <v>182</v>
      </c>
      <c r="F69" s="5" t="s">
        <v>156</v>
      </c>
      <c r="G69" s="1" t="s">
        <v>70</v>
      </c>
      <c r="H69" s="1">
        <v>98119</v>
      </c>
      <c r="I69" s="12" t="s">
        <v>197</v>
      </c>
      <c r="J69" s="12"/>
      <c r="K69" s="1">
        <v>4</v>
      </c>
      <c r="L69" s="68">
        <v>4</v>
      </c>
      <c r="M69" s="1">
        <v>7</v>
      </c>
      <c r="N69" s="1">
        <v>36</v>
      </c>
      <c r="O69" s="1" t="s">
        <v>133</v>
      </c>
      <c r="P69" s="1" t="s">
        <v>132</v>
      </c>
      <c r="Q69" s="1" t="s">
        <v>439</v>
      </c>
      <c r="R69" s="28">
        <v>47.650731999999998</v>
      </c>
      <c r="S69" s="28">
        <v>-122.361565</v>
      </c>
      <c r="T69" s="1" t="str">
        <f>Table1[[#This Row],[Abbreviated name]]&amp;" ("&amp;Table1[[#This Row],[Pitney Bowes Code]]&amp;")"</f>
        <v>Seattle Pacific University   (435)</v>
      </c>
      <c r="U69" s="25" t="s">
        <v>285</v>
      </c>
      <c r="V69" s="25" t="s">
        <v>286</v>
      </c>
      <c r="W69" s="1"/>
    </row>
    <row r="70" spans="1:23" x14ac:dyDescent="0.35">
      <c r="A70" s="1">
        <v>69</v>
      </c>
      <c r="B70" s="28" t="s">
        <v>41</v>
      </c>
      <c r="C70" s="2">
        <v>450</v>
      </c>
      <c r="E70" s="1" t="s">
        <v>41</v>
      </c>
      <c r="F70" s="1" t="s">
        <v>120</v>
      </c>
      <c r="G70" s="1" t="s">
        <v>70</v>
      </c>
      <c r="H70" s="1">
        <v>98178</v>
      </c>
      <c r="I70" s="12" t="s">
        <v>195</v>
      </c>
      <c r="J70" s="12"/>
      <c r="K70" s="1">
        <v>4</v>
      </c>
      <c r="L70" s="68">
        <v>2</v>
      </c>
      <c r="M70" s="1">
        <v>9</v>
      </c>
      <c r="N70" s="1">
        <v>37</v>
      </c>
      <c r="P70" s="1" t="s">
        <v>134</v>
      </c>
      <c r="R70" s="28">
        <v>47.490746000000001</v>
      </c>
      <c r="S70" s="28">
        <v>-122.23852100000001</v>
      </c>
      <c r="T70" s="1" t="str">
        <f>Table1[[#This Row],[Abbreviated name]]&amp;" ("&amp;Table1[[#This Row],[Pitney Bowes Code]]&amp;")"</f>
        <v>Skyway Library (450)</v>
      </c>
      <c r="U70" s="25" t="s">
        <v>291</v>
      </c>
      <c r="V70" s="25" t="s">
        <v>292</v>
      </c>
      <c r="W70" s="1"/>
    </row>
    <row r="71" spans="1:23" x14ac:dyDescent="0.35">
      <c r="A71" s="1">
        <v>70</v>
      </c>
      <c r="B71" s="28" t="s">
        <v>77</v>
      </c>
      <c r="C71" s="2">
        <v>465</v>
      </c>
      <c r="E71" s="1" t="s">
        <v>77</v>
      </c>
      <c r="F71" s="1" t="s">
        <v>78</v>
      </c>
      <c r="G71" s="1" t="s">
        <v>70</v>
      </c>
      <c r="H71" s="1">
        <v>98109</v>
      </c>
      <c r="I71" s="12" t="s">
        <v>193</v>
      </c>
      <c r="J71" s="12"/>
      <c r="K71" s="1">
        <v>4</v>
      </c>
      <c r="L71" s="68">
        <v>4</v>
      </c>
      <c r="M71" s="1">
        <v>7</v>
      </c>
      <c r="N71" s="1">
        <v>43</v>
      </c>
      <c r="P71" s="1" t="s">
        <v>135</v>
      </c>
      <c r="R71" s="28">
        <v>47.621350999999997</v>
      </c>
      <c r="S71" s="28">
        <v>-122.337096</v>
      </c>
      <c r="T71" s="1" t="str">
        <f>Table1[[#This Row],[Abbreviated name]]&amp;" ("&amp;Table1[[#This Row],[Pitney Bowes Code]]&amp;")"</f>
        <v>South Lake Union (465)</v>
      </c>
      <c r="U71" s="25" t="s">
        <v>295</v>
      </c>
      <c r="V71" s="25" t="s">
        <v>296</v>
      </c>
      <c r="W71" s="1"/>
    </row>
    <row r="72" spans="1:23" x14ac:dyDescent="0.35">
      <c r="A72" s="1">
        <v>71</v>
      </c>
      <c r="B72" s="28" t="s">
        <v>42</v>
      </c>
      <c r="C72" s="2">
        <v>470</v>
      </c>
      <c r="E72" s="1" t="s">
        <v>42</v>
      </c>
      <c r="F72" s="1" t="s">
        <v>121</v>
      </c>
      <c r="G72" s="1" t="s">
        <v>70</v>
      </c>
      <c r="H72" s="1">
        <v>98108</v>
      </c>
      <c r="I72" s="12" t="s">
        <v>192</v>
      </c>
      <c r="J72" s="12"/>
      <c r="K72" s="1">
        <v>4</v>
      </c>
      <c r="L72" s="68">
        <v>8</v>
      </c>
      <c r="M72" s="1">
        <v>7</v>
      </c>
      <c r="N72" s="1">
        <v>34</v>
      </c>
      <c r="P72" s="1" t="s">
        <v>134</v>
      </c>
      <c r="R72" s="28">
        <v>47.526183000000003</v>
      </c>
      <c r="S72" s="28">
        <v>-122.322811</v>
      </c>
      <c r="T72" s="1" t="str">
        <f>Table1[[#This Row],[Abbreviated name]]&amp;" ("&amp;Table1[[#This Row],[Pitney Bowes Code]]&amp;")"</f>
        <v>South Park Library (470)</v>
      </c>
      <c r="U72" s="25" t="s">
        <v>297</v>
      </c>
      <c r="V72" s="25" t="s">
        <v>298</v>
      </c>
      <c r="W72" s="1"/>
    </row>
    <row r="73" spans="1:23" x14ac:dyDescent="0.35">
      <c r="A73" s="1">
        <v>72</v>
      </c>
      <c r="B73" s="28" t="s">
        <v>318</v>
      </c>
      <c r="C73" s="2">
        <v>475</v>
      </c>
      <c r="D73" s="1" t="s">
        <v>326</v>
      </c>
      <c r="E73" s="1" t="s">
        <v>318</v>
      </c>
      <c r="F73" s="44" t="s">
        <v>327</v>
      </c>
      <c r="G73" s="28" t="s">
        <v>70</v>
      </c>
      <c r="H73" s="28">
        <v>98106</v>
      </c>
      <c r="I73" s="12" t="s">
        <v>331</v>
      </c>
      <c r="J73" s="12"/>
      <c r="K73" s="1">
        <v>4</v>
      </c>
      <c r="L73" s="68">
        <v>8</v>
      </c>
      <c r="M73" s="1">
        <v>7</v>
      </c>
      <c r="N73" s="1">
        <v>34</v>
      </c>
      <c r="R73" s="28">
        <v>47.547729199999999</v>
      </c>
      <c r="S73" s="28">
        <v>-122.3538902</v>
      </c>
      <c r="T73" s="10" t="str">
        <f>Table1[[#This Row],[Abbreviated name]]&amp;" ("&amp;Table1[[#This Row],[Pitney Bowes Code]]&amp;")"</f>
        <v>South Seattle College (475)</v>
      </c>
      <c r="U73" s="24">
        <v>10155</v>
      </c>
      <c r="V73" s="24">
        <v>284394</v>
      </c>
      <c r="W73" s="1"/>
    </row>
    <row r="74" spans="1:23" x14ac:dyDescent="0.35">
      <c r="A74" s="1">
        <v>73</v>
      </c>
      <c r="B74" s="28" t="s">
        <v>411</v>
      </c>
      <c r="C74" s="2">
        <v>500</v>
      </c>
      <c r="D74" s="1" t="s">
        <v>146</v>
      </c>
      <c r="E74" s="1" t="s">
        <v>181</v>
      </c>
      <c r="F74" s="1" t="s">
        <v>371</v>
      </c>
      <c r="G74" s="1" t="s">
        <v>70</v>
      </c>
      <c r="H74" s="1">
        <v>98195</v>
      </c>
      <c r="I74" s="12" t="s">
        <v>195</v>
      </c>
      <c r="J74" s="12"/>
      <c r="K74" s="1">
        <v>1</v>
      </c>
      <c r="L74" s="68">
        <v>2</v>
      </c>
      <c r="M74" s="1">
        <v>7</v>
      </c>
      <c r="N74" s="1">
        <v>43</v>
      </c>
      <c r="P74" s="1" t="s">
        <v>134</v>
      </c>
      <c r="R74" s="28">
        <v>47.656770999999999</v>
      </c>
      <c r="S74" s="28">
        <v>-122.312653</v>
      </c>
      <c r="T74" s="1" t="str">
        <f>Table1[[#This Row],[Abbreviated name]]&amp;" ("&amp;Table1[[#This Row],[Pitney Bowes Code]]&amp;")"</f>
        <v>University of Washington Campus (500)</v>
      </c>
      <c r="U74" s="25" t="s">
        <v>303</v>
      </c>
      <c r="V74" s="25" t="s">
        <v>304</v>
      </c>
      <c r="W74" s="1"/>
    </row>
    <row r="75" spans="1:23" x14ac:dyDescent="0.35">
      <c r="A75" s="1">
        <v>74</v>
      </c>
      <c r="B75" s="28" t="s">
        <v>374</v>
      </c>
      <c r="C75" s="2">
        <v>100</v>
      </c>
      <c r="E75" s="14" t="s">
        <v>374</v>
      </c>
      <c r="F75" s="1" t="s">
        <v>349</v>
      </c>
      <c r="G75" s="1" t="s">
        <v>70</v>
      </c>
      <c r="H75" s="1">
        <v>98104</v>
      </c>
      <c r="I75" s="12" t="s">
        <v>192</v>
      </c>
      <c r="J75" s="12"/>
      <c r="K75" s="1">
        <v>4</v>
      </c>
      <c r="L75" s="68">
        <v>8</v>
      </c>
      <c r="M75" s="1">
        <v>7</v>
      </c>
      <c r="N75" s="1">
        <v>43</v>
      </c>
      <c r="P75" s="1" t="s">
        <v>134</v>
      </c>
      <c r="R75" s="28">
        <v>47.597051</v>
      </c>
      <c r="S75" s="28">
        <v>-122.326481</v>
      </c>
      <c r="T75" s="1" t="str">
        <f>Table1[[#This Row],[Abbreviated name]]&amp;" ("&amp;Table1[[#This Row],[Pitney Bowes Code]]&amp;")"</f>
        <v>Uwajimaya (100)</v>
      </c>
      <c r="U75" s="25">
        <v>10031</v>
      </c>
      <c r="V75" s="25">
        <v>245985</v>
      </c>
      <c r="W75" s="1"/>
    </row>
    <row r="76" spans="1:23" x14ac:dyDescent="0.35">
      <c r="A76" s="1">
        <v>75</v>
      </c>
      <c r="B76" s="28" t="s">
        <v>169</v>
      </c>
      <c r="C76" s="2">
        <v>527</v>
      </c>
      <c r="D76" s="1" t="s">
        <v>172</v>
      </c>
      <c r="E76" s="1" t="s">
        <v>169</v>
      </c>
      <c r="F76" s="1" t="s">
        <v>162</v>
      </c>
      <c r="G76" s="1" t="s">
        <v>70</v>
      </c>
      <c r="H76" s="1">
        <v>98103</v>
      </c>
      <c r="I76" s="12" t="s">
        <v>191</v>
      </c>
      <c r="J76" s="12"/>
      <c r="K76" s="4">
        <v>4</v>
      </c>
      <c r="L76" s="68">
        <v>4</v>
      </c>
      <c r="M76" s="1">
        <v>7</v>
      </c>
      <c r="N76" s="1">
        <v>43</v>
      </c>
      <c r="P76" s="1" t="s">
        <v>132</v>
      </c>
      <c r="R76" s="28">
        <v>47.646852000000003</v>
      </c>
      <c r="S76" s="28">
        <v>-122.333499</v>
      </c>
      <c r="T76" s="1" t="str">
        <f>Table1[[#This Row],[Abbreviated name]]&amp;" ("&amp;Table1[[#This Row],[Pitney Bowes Code]]&amp;")"</f>
        <v>Waterway 19 Park (527)</v>
      </c>
      <c r="U76" s="25" t="s">
        <v>309</v>
      </c>
      <c r="V76" s="25" t="s">
        <v>310</v>
      </c>
      <c r="W76" s="1"/>
    </row>
    <row r="77" spans="1:23" x14ac:dyDescent="0.35">
      <c r="A77" s="1">
        <v>76</v>
      </c>
      <c r="B77" s="28" t="s">
        <v>43</v>
      </c>
      <c r="C77" s="2">
        <v>530</v>
      </c>
      <c r="E77" s="1" t="s">
        <v>43</v>
      </c>
      <c r="F77" s="1" t="s">
        <v>125</v>
      </c>
      <c r="G77" s="1" t="s">
        <v>70</v>
      </c>
      <c r="H77" s="1">
        <v>98146</v>
      </c>
      <c r="I77" s="65" t="s">
        <v>195</v>
      </c>
      <c r="J77" s="65"/>
      <c r="K77" s="1">
        <v>4</v>
      </c>
      <c r="L77" s="68">
        <v>8</v>
      </c>
      <c r="M77" s="1">
        <v>7</v>
      </c>
      <c r="N77" s="1">
        <v>34</v>
      </c>
      <c r="P77" s="1" t="s">
        <v>134</v>
      </c>
      <c r="R77" s="28">
        <v>47.506755099999999</v>
      </c>
      <c r="S77" s="28">
        <v>-122.353182</v>
      </c>
      <c r="T77" s="1" t="str">
        <f>Table1[[#This Row],[Abbreviated name]]&amp;" ("&amp;Table1[[#This Row],[Pitney Bowes Code]]&amp;")"</f>
        <v>White Center Library (530)</v>
      </c>
      <c r="U77" s="25" t="s">
        <v>311</v>
      </c>
      <c r="V77" s="25" t="s">
        <v>312</v>
      </c>
      <c r="W77" s="1"/>
    </row>
    <row r="78" spans="1:23" x14ac:dyDescent="0.35">
      <c r="A78" s="1">
        <v>77</v>
      </c>
      <c r="B78" s="28" t="s">
        <v>25</v>
      </c>
      <c r="C78" s="2">
        <v>440</v>
      </c>
      <c r="E78" s="1" t="s">
        <v>25</v>
      </c>
      <c r="F78" s="1" t="s">
        <v>119</v>
      </c>
      <c r="G78" s="1" t="s">
        <v>65</v>
      </c>
      <c r="H78" s="1">
        <v>98155</v>
      </c>
      <c r="I78" s="12" t="s">
        <v>195</v>
      </c>
      <c r="J78" s="12"/>
      <c r="K78" s="1">
        <v>2</v>
      </c>
      <c r="L78" s="68">
        <v>1</v>
      </c>
      <c r="M78" s="1">
        <v>7</v>
      </c>
      <c r="N78" s="1">
        <v>32</v>
      </c>
      <c r="P78" s="1" t="s">
        <v>134</v>
      </c>
      <c r="R78" s="28">
        <v>47.755417799999996</v>
      </c>
      <c r="S78" s="28">
        <v>-122.3250106</v>
      </c>
      <c r="T78" s="1" t="str">
        <f>Table1[[#This Row],[Abbreviated name]]&amp;" ("&amp;Table1[[#This Row],[Pitney Bowes Code]]&amp;")"</f>
        <v>Shoreline Library (440)</v>
      </c>
      <c r="U78" s="25" t="s">
        <v>287</v>
      </c>
      <c r="V78" s="25" t="s">
        <v>288</v>
      </c>
      <c r="W78" s="1"/>
    </row>
    <row r="79" spans="1:23" x14ac:dyDescent="0.35">
      <c r="A79" s="1">
        <v>78</v>
      </c>
      <c r="B79" s="28" t="s">
        <v>160</v>
      </c>
      <c r="C79" s="2">
        <v>445</v>
      </c>
      <c r="E79" s="1" t="s">
        <v>160</v>
      </c>
      <c r="F79" s="1" t="s">
        <v>163</v>
      </c>
      <c r="G79" s="1" t="s">
        <v>65</v>
      </c>
      <c r="H79" s="1">
        <v>98133</v>
      </c>
      <c r="I79" s="12" t="s">
        <v>191</v>
      </c>
      <c r="J79" s="12"/>
      <c r="K79" s="1">
        <v>4</v>
      </c>
      <c r="L79" s="68">
        <v>1</v>
      </c>
      <c r="M79" s="1">
        <v>7</v>
      </c>
      <c r="N79" s="1">
        <v>32</v>
      </c>
      <c r="P79" s="1" t="s">
        <v>134</v>
      </c>
      <c r="R79" s="28">
        <v>47.767488</v>
      </c>
      <c r="S79" s="28">
        <v>-122.346688</v>
      </c>
      <c r="T79" s="1" t="str">
        <f>Table1[[#This Row],[Abbreviated name]]&amp;" ("&amp;Table1[[#This Row],[Pitney Bowes Code]]&amp;")"</f>
        <v>Shoreline Park &amp; Ride (445)</v>
      </c>
      <c r="U79" s="25" t="s">
        <v>289</v>
      </c>
      <c r="V79" s="25" t="s">
        <v>290</v>
      </c>
      <c r="W79" s="1"/>
    </row>
    <row r="80" spans="1:23" x14ac:dyDescent="0.35">
      <c r="A80" s="1">
        <v>79</v>
      </c>
      <c r="B80" s="28" t="s">
        <v>26</v>
      </c>
      <c r="C80" s="2">
        <v>460</v>
      </c>
      <c r="E80" s="1" t="s">
        <v>26</v>
      </c>
      <c r="F80" s="1" t="s">
        <v>369</v>
      </c>
      <c r="G80" s="1" t="s">
        <v>66</v>
      </c>
      <c r="H80" s="1">
        <v>98065</v>
      </c>
      <c r="I80" s="12" t="s">
        <v>192</v>
      </c>
      <c r="J80" s="12"/>
      <c r="K80" s="1">
        <v>4</v>
      </c>
      <c r="L80" s="68">
        <v>3</v>
      </c>
      <c r="M80" s="1">
        <v>8</v>
      </c>
      <c r="N80" s="1">
        <v>5</v>
      </c>
      <c r="P80" s="1" t="s">
        <v>134</v>
      </c>
      <c r="R80" s="28">
        <v>47.529896399999998</v>
      </c>
      <c r="S80" s="28">
        <v>-121.8724101</v>
      </c>
      <c r="T80" s="1" t="str">
        <f>Table1[[#This Row],[Abbreviated name]]&amp;" ("&amp;Table1[[#This Row],[Pitney Bowes Code]]&amp;")"</f>
        <v>Snoqualmie Library (460)</v>
      </c>
      <c r="U80" s="25" t="s">
        <v>293</v>
      </c>
      <c r="V80" s="25" t="s">
        <v>294</v>
      </c>
      <c r="W80" s="1"/>
    </row>
    <row r="81" spans="1:23" x14ac:dyDescent="0.35">
      <c r="A81" s="1">
        <v>80</v>
      </c>
      <c r="B81" s="4" t="s">
        <v>27</v>
      </c>
      <c r="C81" s="2">
        <v>490</v>
      </c>
      <c r="E81" s="1" t="s">
        <v>27</v>
      </c>
      <c r="F81" s="1" t="s">
        <v>123</v>
      </c>
      <c r="G81" s="1" t="s">
        <v>67</v>
      </c>
      <c r="H81" s="1">
        <v>98168</v>
      </c>
      <c r="I81" s="12" t="s">
        <v>196</v>
      </c>
      <c r="J81" s="12"/>
      <c r="K81" s="1">
        <v>4</v>
      </c>
      <c r="L81" s="68">
        <v>2</v>
      </c>
      <c r="M81" s="1">
        <v>9</v>
      </c>
      <c r="N81" s="1">
        <v>11</v>
      </c>
      <c r="O81" s="1" t="s">
        <v>133</v>
      </c>
      <c r="P81" s="1" t="s">
        <v>134</v>
      </c>
      <c r="Q81" s="1" t="s">
        <v>439</v>
      </c>
      <c r="R81" s="28">
        <v>47.491522000000003</v>
      </c>
      <c r="S81" s="28">
        <v>-122.278194</v>
      </c>
      <c r="T81" s="1" t="str">
        <f>Table1[[#This Row],[Abbreviated name]]&amp;" ("&amp;Table1[[#This Row],[Pitney Bowes Code]]&amp;")"</f>
        <v>Tukwila Community Center (490)</v>
      </c>
      <c r="U81" s="25" t="s">
        <v>301</v>
      </c>
      <c r="V81" s="25" t="s">
        <v>302</v>
      </c>
      <c r="W81" s="1"/>
    </row>
    <row r="82" spans="1:23" x14ac:dyDescent="0.35">
      <c r="A82" s="1">
        <v>81</v>
      </c>
      <c r="B82" s="45" t="s">
        <v>436</v>
      </c>
      <c r="C82" s="46">
        <v>492</v>
      </c>
      <c r="D82" s="14"/>
      <c r="E82" s="14" t="s">
        <v>436</v>
      </c>
      <c r="F82" s="14" t="s">
        <v>441</v>
      </c>
      <c r="G82" s="14" t="s">
        <v>67</v>
      </c>
      <c r="H82" s="14">
        <v>98188</v>
      </c>
      <c r="I82" s="47" t="s">
        <v>438</v>
      </c>
      <c r="J82" s="47"/>
      <c r="K82" s="14"/>
      <c r="L82" s="68">
        <v>5</v>
      </c>
      <c r="M82" s="14">
        <v>9</v>
      </c>
      <c r="N82" s="14">
        <v>11</v>
      </c>
      <c r="O82" s="14"/>
      <c r="P82" s="14"/>
      <c r="Q82" s="14"/>
      <c r="R82" s="48">
        <v>47.468699999999998</v>
      </c>
      <c r="S82" s="48">
        <v>-122.28744</v>
      </c>
      <c r="T82" s="49" t="str">
        <f>Table1[[#This Row],[Abbreviated name]]&amp;" ("&amp;Table1[[#This Row],[Pitney Bowes Code]]&amp;")"</f>
        <v>Tukwila Justice Center (492)</v>
      </c>
      <c r="U82" s="50" t="s">
        <v>442</v>
      </c>
      <c r="V82" s="50" t="s">
        <v>446</v>
      </c>
      <c r="W82" s="1"/>
    </row>
    <row r="83" spans="1:23" x14ac:dyDescent="0.35">
      <c r="A83" s="1">
        <v>82</v>
      </c>
      <c r="B83" s="28" t="s">
        <v>28</v>
      </c>
      <c r="C83" s="2">
        <v>520</v>
      </c>
      <c r="E83" s="1" t="s">
        <v>28</v>
      </c>
      <c r="F83" s="1" t="s">
        <v>370</v>
      </c>
      <c r="G83" s="1" t="s">
        <v>68</v>
      </c>
      <c r="H83" s="1">
        <v>98070</v>
      </c>
      <c r="I83" s="12" t="s">
        <v>195</v>
      </c>
      <c r="J83" s="12"/>
      <c r="K83" s="1">
        <v>4</v>
      </c>
      <c r="L83" s="68">
        <v>8</v>
      </c>
      <c r="M83" s="1">
        <v>7</v>
      </c>
      <c r="N83" s="1">
        <v>34</v>
      </c>
      <c r="P83" s="1" t="s">
        <v>134</v>
      </c>
      <c r="R83" s="28">
        <v>47.450772200000003</v>
      </c>
      <c r="S83" s="28">
        <v>-122.4597488</v>
      </c>
      <c r="T83" s="1" t="str">
        <f>Table1[[#This Row],[Abbreviated name]]&amp;" ("&amp;Table1[[#This Row],[Pitney Bowes Code]]&amp;")"</f>
        <v>Vashon Library (520)</v>
      </c>
      <c r="U83" s="25" t="s">
        <v>307</v>
      </c>
      <c r="V83" s="25" t="s">
        <v>308</v>
      </c>
      <c r="W83" s="1"/>
    </row>
    <row r="84" spans="1:23" x14ac:dyDescent="0.35">
      <c r="A84" s="1">
        <v>83</v>
      </c>
      <c r="B84" s="28" t="s">
        <v>379</v>
      </c>
      <c r="C84" s="2">
        <v>535</v>
      </c>
      <c r="E84" s="1" t="s">
        <v>379</v>
      </c>
      <c r="F84" s="1" t="s">
        <v>380</v>
      </c>
      <c r="G84" s="1" t="s">
        <v>69</v>
      </c>
      <c r="H84" s="1">
        <v>98072</v>
      </c>
      <c r="I84" s="12" t="s">
        <v>381</v>
      </c>
      <c r="J84" s="12"/>
      <c r="K84" s="1"/>
      <c r="L84" s="68">
        <v>3</v>
      </c>
      <c r="M84" s="1">
        <v>1</v>
      </c>
      <c r="N84" s="1">
        <v>1</v>
      </c>
      <c r="R84" s="28">
        <v>47.752890000000001</v>
      </c>
      <c r="S84" s="28">
        <v>-122.16259599999999</v>
      </c>
      <c r="T84" s="10" t="str">
        <f>Table1[[#This Row],[Abbreviated name]]&amp;" ("&amp;Table1[[#This Row],[Pitney Bowes Code]]&amp;")"</f>
        <v>Woodinville City Hall (535)</v>
      </c>
      <c r="U84" s="25" t="s">
        <v>385</v>
      </c>
      <c r="V84" s="25" t="s">
        <v>386</v>
      </c>
      <c r="W84" s="1"/>
    </row>
    <row r="85" spans="1:23" x14ac:dyDescent="0.35">
      <c r="A85" s="1">
        <v>84</v>
      </c>
      <c r="B85" s="28" t="s">
        <v>29</v>
      </c>
      <c r="C85" s="2">
        <v>540</v>
      </c>
      <c r="E85" s="1" t="s">
        <v>29</v>
      </c>
      <c r="F85" s="1" t="s">
        <v>126</v>
      </c>
      <c r="G85" s="1" t="s">
        <v>69</v>
      </c>
      <c r="H85" s="1">
        <v>98072</v>
      </c>
      <c r="I85" s="12" t="s">
        <v>195</v>
      </c>
      <c r="J85" s="12"/>
      <c r="K85" s="1">
        <v>4</v>
      </c>
      <c r="L85" s="68">
        <v>3</v>
      </c>
      <c r="M85" s="1">
        <v>8</v>
      </c>
      <c r="N85" s="1">
        <v>45</v>
      </c>
      <c r="P85" s="1" t="s">
        <v>134</v>
      </c>
      <c r="R85" s="28">
        <v>47.751809000000002</v>
      </c>
      <c r="S85" s="28">
        <v>-122.08197699999999</v>
      </c>
      <c r="T85" s="1" t="str">
        <f>Table1[[#This Row],[Abbreviated name]]&amp;" ("&amp;Table1[[#This Row],[Pitney Bowes Code]]&amp;")"</f>
        <v>Woodinville Library (540)</v>
      </c>
      <c r="U85" s="25">
        <v>10004</v>
      </c>
      <c r="V85" s="25" t="s">
        <v>313</v>
      </c>
      <c r="W85" s="1"/>
    </row>
    <row r="86" spans="1:23" x14ac:dyDescent="0.35">
      <c r="A86" s="1">
        <v>85</v>
      </c>
      <c r="B86" s="28" t="s">
        <v>416</v>
      </c>
      <c r="C86" s="2">
        <v>30</v>
      </c>
      <c r="I86" s="65"/>
      <c r="J86" s="65"/>
      <c r="K86" s="1"/>
      <c r="L86" s="68">
        <v>4</v>
      </c>
      <c r="R86" s="28"/>
      <c r="S86" s="28"/>
      <c r="T86" s="10" t="str">
        <f>Table1[[#This Row],[Abbreviated name]]&amp;" ("&amp;Table1[[#This Row],[Pitney Bowes Code]]&amp;")"</f>
        <v xml:space="preserve"> (30)</v>
      </c>
      <c r="U86" s="25"/>
      <c r="V86" s="25"/>
    </row>
    <row r="87" spans="1:23" x14ac:dyDescent="0.35">
      <c r="S87" s="28"/>
      <c r="T87" s="28"/>
    </row>
    <row r="88" spans="1:23" x14ac:dyDescent="0.35">
      <c r="S88" s="28"/>
      <c r="T88" s="28"/>
    </row>
    <row r="89" spans="1:23" x14ac:dyDescent="0.35">
      <c r="S89" s="28"/>
      <c r="T89" s="28"/>
    </row>
    <row r="90" spans="1:23" x14ac:dyDescent="0.35">
      <c r="S90" s="28"/>
      <c r="T90" s="28"/>
    </row>
    <row r="91" spans="1:23" x14ac:dyDescent="0.35">
      <c r="S91" s="28"/>
      <c r="T91" s="28"/>
    </row>
    <row r="92" spans="1:23" x14ac:dyDescent="0.35">
      <c r="S92" s="28"/>
      <c r="T92" s="28"/>
    </row>
    <row r="93" spans="1:23" x14ac:dyDescent="0.35">
      <c r="S93" s="28"/>
      <c r="T93" s="28"/>
    </row>
    <row r="94" spans="1:23" x14ac:dyDescent="0.35">
      <c r="S94" s="28"/>
      <c r="T94" s="28"/>
    </row>
    <row r="95" spans="1:23" x14ac:dyDescent="0.35">
      <c r="S95" s="28"/>
      <c r="T95" s="28"/>
    </row>
    <row r="96" spans="1:23" x14ac:dyDescent="0.35">
      <c r="S96" s="28"/>
      <c r="T96" s="28"/>
    </row>
    <row r="97" spans="19:20" x14ac:dyDescent="0.35">
      <c r="S97" s="28"/>
      <c r="T97" s="28"/>
    </row>
    <row r="98" spans="19:20" x14ac:dyDescent="0.35">
      <c r="S98" s="28"/>
      <c r="T98" s="28"/>
    </row>
    <row r="99" spans="19:20" x14ac:dyDescent="0.35">
      <c r="S99" s="28"/>
      <c r="T99" s="28"/>
    </row>
    <row r="100" spans="19:20" x14ac:dyDescent="0.35">
      <c r="S100" s="28"/>
      <c r="T100" s="28"/>
    </row>
    <row r="101" spans="19:20" x14ac:dyDescent="0.35">
      <c r="S101" s="28"/>
      <c r="T101" s="28"/>
    </row>
    <row r="102" spans="19:20" x14ac:dyDescent="0.35">
      <c r="S102" s="28"/>
      <c r="T102" s="28"/>
    </row>
    <row r="103" spans="19:20" x14ac:dyDescent="0.35">
      <c r="S103" s="28"/>
      <c r="T103" s="28"/>
    </row>
    <row r="104" spans="19:20" x14ac:dyDescent="0.35">
      <c r="S104" s="28"/>
      <c r="T104" s="28"/>
    </row>
    <row r="105" spans="19:20" x14ac:dyDescent="0.35">
      <c r="S105" s="28"/>
      <c r="T105" s="28"/>
    </row>
    <row r="106" spans="19:20" x14ac:dyDescent="0.35">
      <c r="S106" s="28"/>
      <c r="T106" s="28"/>
    </row>
    <row r="107" spans="19:20" x14ac:dyDescent="0.35">
      <c r="S107" s="28"/>
      <c r="T107" s="28"/>
    </row>
    <row r="108" spans="19:20" x14ac:dyDescent="0.35">
      <c r="S108" s="28"/>
      <c r="T108" s="28"/>
    </row>
    <row r="109" spans="19:20" x14ac:dyDescent="0.35">
      <c r="S109" s="28"/>
      <c r="T109" s="28"/>
    </row>
  </sheetData>
  <pageMargins left="0.25" right="0.25" top="0.75" bottom="0.75" header="0.3" footer="0.3"/>
  <pageSetup scale="3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4"/>
  <sheetViews>
    <sheetView topLeftCell="A7" workbookViewId="0">
      <selection activeCell="A24" sqref="A24:XFD24"/>
    </sheetView>
  </sheetViews>
  <sheetFormatPr defaultRowHeight="14.5" x14ac:dyDescent="0.35"/>
  <cols>
    <col min="1" max="1" width="74.453125" bestFit="1" customWidth="1"/>
    <col min="2" max="2" width="42.453125" hidden="1" customWidth="1"/>
    <col min="3" max="3" width="38.453125" hidden="1" customWidth="1"/>
    <col min="4" max="4" width="37.7265625" hidden="1" customWidth="1"/>
    <col min="5" max="5" width="15.453125" hidden="1" customWidth="1"/>
    <col min="6" max="6" width="6.54296875" hidden="1" customWidth="1"/>
    <col min="7" max="7" width="20.81640625" bestFit="1" customWidth="1"/>
    <col min="8" max="8" width="15.453125" bestFit="1" customWidth="1"/>
    <col min="9" max="9" width="7.1796875" bestFit="1" customWidth="1"/>
    <col min="10" max="10" width="8.453125" customWidth="1"/>
    <col min="11" max="11" width="8.1796875" bestFit="1" customWidth="1"/>
    <col min="12" max="12" width="6.7265625" customWidth="1"/>
    <col min="13" max="13" width="20.26953125" bestFit="1" customWidth="1"/>
    <col min="14" max="14" width="12.7265625" bestFit="1" customWidth="1"/>
    <col min="15" max="15" width="13.54296875" bestFit="1" customWidth="1"/>
    <col min="16" max="16" width="25.453125" bestFit="1" customWidth="1"/>
    <col min="17" max="17" width="25.453125" customWidth="1"/>
    <col min="18" max="18" width="43.453125" bestFit="1" customWidth="1"/>
    <col min="19" max="19" width="16.54296875" bestFit="1" customWidth="1"/>
    <col min="20" max="20" width="27.81640625" bestFit="1" customWidth="1"/>
  </cols>
  <sheetData>
    <row r="1" spans="1:20" s="1" customFormat="1" x14ac:dyDescent="0.35">
      <c r="A1" s="36" t="s">
        <v>0</v>
      </c>
      <c r="B1" s="37" t="s">
        <v>137</v>
      </c>
      <c r="C1" s="37" t="s">
        <v>175</v>
      </c>
      <c r="D1" s="37" t="s">
        <v>1</v>
      </c>
      <c r="E1" s="37" t="s">
        <v>71</v>
      </c>
      <c r="F1" s="37" t="s">
        <v>72</v>
      </c>
      <c r="G1" s="38" t="s">
        <v>73</v>
      </c>
      <c r="H1" s="39" t="s">
        <v>190</v>
      </c>
      <c r="I1" s="37" t="s">
        <v>76</v>
      </c>
      <c r="J1" s="37" t="s">
        <v>127</v>
      </c>
      <c r="K1" s="37" t="s">
        <v>128</v>
      </c>
      <c r="L1" s="37" t="s">
        <v>129</v>
      </c>
      <c r="M1" s="37" t="s">
        <v>178</v>
      </c>
      <c r="N1" s="37" t="s">
        <v>130</v>
      </c>
      <c r="O1" s="37" t="s">
        <v>131</v>
      </c>
      <c r="P1" s="37" t="s">
        <v>342</v>
      </c>
      <c r="Q1" s="37" t="s">
        <v>343</v>
      </c>
      <c r="R1" s="37" t="s">
        <v>176</v>
      </c>
      <c r="S1" s="40" t="s">
        <v>206</v>
      </c>
      <c r="T1" s="41" t="s">
        <v>207</v>
      </c>
    </row>
    <row r="2" spans="1:20" s="1" customFormat="1" x14ac:dyDescent="0.35">
      <c r="A2" s="6" t="s">
        <v>167</v>
      </c>
      <c r="B2" s="6"/>
      <c r="C2" s="6"/>
      <c r="D2" s="6"/>
      <c r="E2" s="6"/>
      <c r="F2" s="6"/>
      <c r="G2" s="7">
        <v>1</v>
      </c>
      <c r="H2" s="13" t="s">
        <v>200</v>
      </c>
      <c r="I2" s="6"/>
      <c r="J2" s="6"/>
      <c r="K2" s="6"/>
      <c r="L2" s="6"/>
      <c r="M2" s="6"/>
      <c r="N2" s="6"/>
      <c r="O2" s="6"/>
      <c r="P2" s="29"/>
      <c r="Q2" s="29"/>
      <c r="R2" s="6"/>
      <c r="S2" s="25"/>
      <c r="T2" s="25"/>
    </row>
    <row r="3" spans="1:20" s="1" customFormat="1" x14ac:dyDescent="0.35">
      <c r="A3" s="8" t="s">
        <v>174</v>
      </c>
      <c r="B3" s="8"/>
      <c r="C3" s="8"/>
      <c r="D3" s="8"/>
      <c r="E3" s="8"/>
      <c r="F3" s="8"/>
      <c r="G3" s="9">
        <v>997</v>
      </c>
      <c r="H3" s="12" t="s">
        <v>200</v>
      </c>
      <c r="I3" s="11"/>
      <c r="J3" s="8"/>
      <c r="K3" s="8"/>
      <c r="L3" s="8"/>
      <c r="M3" s="8"/>
      <c r="N3" s="8"/>
      <c r="O3" s="8"/>
      <c r="P3" s="30"/>
      <c r="Q3" s="30"/>
      <c r="R3" s="8"/>
      <c r="S3" s="25"/>
      <c r="T3" s="25"/>
    </row>
    <row r="4" spans="1:20" s="1" customFormat="1" x14ac:dyDescent="0.35">
      <c r="A4" s="8" t="s">
        <v>173</v>
      </c>
      <c r="B4" s="8"/>
      <c r="C4" s="8"/>
      <c r="D4" s="8"/>
      <c r="E4" s="8"/>
      <c r="F4" s="8"/>
      <c r="G4" s="9">
        <v>996</v>
      </c>
      <c r="H4" s="12" t="s">
        <v>200</v>
      </c>
      <c r="I4" s="11"/>
      <c r="J4" s="8"/>
      <c r="K4" s="8"/>
      <c r="L4" s="8"/>
      <c r="M4" s="8"/>
      <c r="N4" s="8"/>
      <c r="O4" s="8"/>
      <c r="P4" s="30"/>
      <c r="Q4" s="30"/>
      <c r="R4" s="8"/>
      <c r="S4" s="25"/>
      <c r="T4" s="25"/>
    </row>
    <row r="5" spans="1:20" s="1" customFormat="1" x14ac:dyDescent="0.35">
      <c r="A5" s="3" t="s">
        <v>186</v>
      </c>
      <c r="B5" s="3"/>
      <c r="C5" s="3"/>
      <c r="D5" s="3"/>
      <c r="E5" s="3"/>
      <c r="F5" s="3"/>
      <c r="G5" s="15">
        <v>994</v>
      </c>
      <c r="H5" s="16" t="s">
        <v>200</v>
      </c>
      <c r="I5" s="17"/>
      <c r="J5" s="3"/>
      <c r="K5" s="3"/>
      <c r="L5" s="3"/>
      <c r="M5" s="3"/>
      <c r="N5" s="3"/>
      <c r="O5" s="3"/>
      <c r="P5" s="3"/>
      <c r="Q5" s="3"/>
      <c r="R5" s="17"/>
      <c r="S5" s="26"/>
      <c r="T5" s="26"/>
    </row>
    <row r="6" spans="1:20" s="1" customFormat="1" x14ac:dyDescent="0.35">
      <c r="A6" s="4" t="s">
        <v>317</v>
      </c>
      <c r="B6" s="4"/>
      <c r="C6" s="4"/>
      <c r="D6" s="4"/>
      <c r="E6" s="4"/>
      <c r="F6" s="4"/>
      <c r="G6" s="18">
        <v>999</v>
      </c>
      <c r="H6" s="19" t="s">
        <v>200</v>
      </c>
      <c r="I6" s="20"/>
      <c r="J6" s="4"/>
      <c r="K6" s="4"/>
      <c r="L6" s="4"/>
      <c r="M6" s="4"/>
      <c r="N6" s="4"/>
      <c r="O6" s="4"/>
      <c r="P6" s="4"/>
      <c r="Q6" s="4"/>
      <c r="R6" s="20"/>
      <c r="S6" s="27"/>
      <c r="T6" s="27"/>
    </row>
    <row r="7" spans="1:20" s="1" customFormat="1" x14ac:dyDescent="0.35">
      <c r="A7" s="1" t="s">
        <v>316</v>
      </c>
      <c r="G7" s="2">
        <v>995</v>
      </c>
      <c r="H7" s="12" t="s">
        <v>200</v>
      </c>
      <c r="I7" s="10"/>
      <c r="P7" s="28"/>
      <c r="Q7" s="28"/>
      <c r="S7" s="25"/>
      <c r="T7" s="25"/>
    </row>
    <row r="8" spans="1:20" s="1" customFormat="1" x14ac:dyDescent="0.35">
      <c r="A8" s="1" t="s">
        <v>184</v>
      </c>
      <c r="G8" s="2">
        <v>992</v>
      </c>
      <c r="H8" s="12" t="s">
        <v>200</v>
      </c>
      <c r="I8" s="10"/>
      <c r="P8" s="28"/>
      <c r="Q8" s="28"/>
      <c r="R8" s="10"/>
      <c r="S8" s="25"/>
      <c r="T8" s="25"/>
    </row>
    <row r="9" spans="1:20" s="1" customFormat="1" x14ac:dyDescent="0.35">
      <c r="A9" s="1" t="s">
        <v>183</v>
      </c>
      <c r="G9" s="2">
        <v>991</v>
      </c>
      <c r="H9" s="12" t="s">
        <v>200</v>
      </c>
      <c r="I9" s="10"/>
      <c r="P9" s="28"/>
      <c r="Q9" s="28"/>
      <c r="R9" s="10"/>
      <c r="S9" s="25"/>
      <c r="T9" s="25"/>
    </row>
    <row r="10" spans="1:20" s="1" customFormat="1" x14ac:dyDescent="0.35">
      <c r="A10" s="1" t="s">
        <v>185</v>
      </c>
      <c r="G10" s="2">
        <v>993</v>
      </c>
      <c r="H10" s="12" t="s">
        <v>200</v>
      </c>
      <c r="I10" s="10"/>
      <c r="P10" s="28"/>
      <c r="Q10" s="28"/>
      <c r="R10" s="10"/>
      <c r="S10" s="25"/>
      <c r="T10" s="25"/>
    </row>
    <row r="11" spans="1:20" s="1" customFormat="1" x14ac:dyDescent="0.35">
      <c r="A11" s="6" t="s">
        <v>168</v>
      </c>
      <c r="B11" s="6"/>
      <c r="C11" s="6"/>
      <c r="D11" s="6"/>
      <c r="E11" s="6"/>
      <c r="F11" s="6"/>
      <c r="G11" s="7">
        <v>0</v>
      </c>
      <c r="H11" s="13" t="s">
        <v>200</v>
      </c>
      <c r="I11" s="6"/>
      <c r="J11" s="6"/>
      <c r="K11" s="6"/>
      <c r="L11" s="6"/>
      <c r="M11" s="6"/>
      <c r="N11" s="6"/>
      <c r="O11" s="6"/>
      <c r="P11" s="29"/>
      <c r="Q11" s="29"/>
      <c r="R11" s="6"/>
      <c r="S11" s="25"/>
      <c r="T11" s="25"/>
    </row>
    <row r="12" spans="1:20" s="3" customFormat="1" x14ac:dyDescent="0.35">
      <c r="A12" s="3" t="s">
        <v>202</v>
      </c>
      <c r="G12" s="15">
        <v>998</v>
      </c>
      <c r="H12" s="16" t="s">
        <v>200</v>
      </c>
      <c r="I12" s="17"/>
      <c r="S12" s="26"/>
      <c r="T12" s="26"/>
    </row>
    <row r="13" spans="1:20" s="1" customFormat="1" x14ac:dyDescent="0.35">
      <c r="A13" s="1" t="s">
        <v>346</v>
      </c>
      <c r="G13" s="2">
        <v>820</v>
      </c>
      <c r="H13" s="12"/>
      <c r="P13" s="28"/>
      <c r="Q13" s="28"/>
      <c r="R13" s="10"/>
      <c r="S13" s="25"/>
      <c r="T13" s="25"/>
    </row>
    <row r="14" spans="1:20" s="1" customFormat="1" x14ac:dyDescent="0.35">
      <c r="A14" s="1" t="s">
        <v>344</v>
      </c>
      <c r="G14" s="2">
        <v>800</v>
      </c>
      <c r="H14" s="12"/>
      <c r="P14" s="28"/>
      <c r="Q14" s="28"/>
      <c r="R14" s="10"/>
      <c r="S14" s="25"/>
      <c r="T14" s="25"/>
    </row>
    <row r="15" spans="1:20" s="1" customFormat="1" x14ac:dyDescent="0.35">
      <c r="A15" s="1" t="s">
        <v>347</v>
      </c>
      <c r="G15" s="2">
        <v>830</v>
      </c>
      <c r="H15" s="12"/>
      <c r="P15" s="28"/>
      <c r="Q15" s="28"/>
      <c r="R15" s="10"/>
      <c r="S15" s="25"/>
      <c r="T15" s="25"/>
    </row>
    <row r="16" spans="1:20" s="3" customFormat="1" x14ac:dyDescent="0.35">
      <c r="A16" s="1" t="s">
        <v>345</v>
      </c>
      <c r="B16" s="1"/>
      <c r="C16" s="1"/>
      <c r="D16" s="1"/>
      <c r="E16" s="1"/>
      <c r="F16" s="1"/>
      <c r="G16" s="2">
        <v>810</v>
      </c>
      <c r="H16" s="12"/>
      <c r="I16" s="1"/>
      <c r="J16" s="1"/>
      <c r="K16" s="1"/>
      <c r="L16" s="1"/>
      <c r="M16" s="1"/>
      <c r="N16" s="1"/>
      <c r="O16" s="1"/>
      <c r="P16" s="28"/>
      <c r="Q16" s="28"/>
      <c r="R16" s="10"/>
      <c r="S16" s="25"/>
      <c r="T16" s="25"/>
    </row>
    <row r="17" spans="1:20" s="4" customFormat="1" x14ac:dyDescent="0.35">
      <c r="A17" s="1" t="s">
        <v>348</v>
      </c>
      <c r="B17" s="1"/>
      <c r="C17" s="1"/>
      <c r="D17" s="1"/>
      <c r="E17" s="1"/>
      <c r="F17" s="1"/>
      <c r="G17" s="2">
        <v>840</v>
      </c>
      <c r="H17" s="12"/>
      <c r="I17" s="1"/>
      <c r="J17" s="1"/>
      <c r="K17" s="1"/>
      <c r="L17" s="1"/>
      <c r="M17" s="1"/>
      <c r="N17" s="1"/>
      <c r="O17" s="1"/>
      <c r="P17" s="28"/>
      <c r="Q17" s="28"/>
      <c r="R17" s="10"/>
      <c r="S17" s="25"/>
      <c r="T17" s="25"/>
    </row>
    <row r="18" spans="1:20" s="1" customFormat="1" x14ac:dyDescent="0.35">
      <c r="A18" s="28" t="s">
        <v>3</v>
      </c>
      <c r="B18" s="2">
        <v>60</v>
      </c>
      <c r="D18" s="1" t="s">
        <v>3</v>
      </c>
      <c r="E18" s="1" t="s">
        <v>84</v>
      </c>
      <c r="F18" s="1" t="s">
        <v>46</v>
      </c>
      <c r="G18" s="1">
        <v>98011</v>
      </c>
      <c r="H18" s="12" t="s">
        <v>192</v>
      </c>
      <c r="I18" s="1">
        <v>4</v>
      </c>
      <c r="J18" s="1">
        <v>1</v>
      </c>
      <c r="K18" s="1">
        <v>1</v>
      </c>
      <c r="L18" s="1">
        <v>1</v>
      </c>
      <c r="N18" s="1" t="s">
        <v>134</v>
      </c>
      <c r="P18" s="28">
        <v>47.761262000000002</v>
      </c>
      <c r="Q18" s="28">
        <v>-122.20564299999999</v>
      </c>
      <c r="R18" s="1" t="str">
        <f>Table1[[#This Row],[Abbreviated name]]&amp;" ("&amp;"0"&amp;Table1[[#This Row],[Pitney Bowes Code]]&amp;")"</f>
        <v>Enumclaw Library (0130)</v>
      </c>
      <c r="S18" s="25">
        <v>10036</v>
      </c>
      <c r="T18" s="25" t="s">
        <v>222</v>
      </c>
    </row>
    <row r="19" spans="1:20" x14ac:dyDescent="0.35">
      <c r="A19" s="1" t="s">
        <v>363</v>
      </c>
      <c r="B19" t="s">
        <v>366</v>
      </c>
      <c r="S19">
        <v>10014</v>
      </c>
      <c r="T19">
        <v>284347</v>
      </c>
    </row>
    <row r="20" spans="1:20" x14ac:dyDescent="0.35">
      <c r="A20" s="1" t="s">
        <v>364</v>
      </c>
      <c r="B20" t="s">
        <v>366</v>
      </c>
      <c r="S20" t="s">
        <v>367</v>
      </c>
      <c r="T20">
        <v>284417</v>
      </c>
    </row>
    <row r="21" spans="1:20" x14ac:dyDescent="0.35">
      <c r="A21" s="1" t="s">
        <v>365</v>
      </c>
      <c r="B21" t="s">
        <v>366</v>
      </c>
      <c r="S21">
        <v>10005</v>
      </c>
      <c r="T21">
        <v>284353</v>
      </c>
    </row>
    <row r="22" spans="1:20" s="1" customFormat="1" x14ac:dyDescent="0.35">
      <c r="A22" s="34" t="s">
        <v>355</v>
      </c>
      <c r="B22" s="32">
        <v>240</v>
      </c>
      <c r="C22" s="31"/>
      <c r="D22" s="31" t="s">
        <v>10</v>
      </c>
      <c r="E22" s="31" t="s">
        <v>100</v>
      </c>
      <c r="F22" s="31" t="s">
        <v>54</v>
      </c>
      <c r="G22" s="31">
        <v>98031</v>
      </c>
      <c r="H22" s="33" t="s">
        <v>192</v>
      </c>
      <c r="I22" s="31">
        <v>4</v>
      </c>
      <c r="J22" s="31">
        <v>5</v>
      </c>
      <c r="K22" s="31">
        <v>9</v>
      </c>
      <c r="L22" s="31">
        <v>47</v>
      </c>
      <c r="M22" s="31"/>
      <c r="N22" s="31" t="s">
        <v>132</v>
      </c>
      <c r="O22" s="31"/>
      <c r="P22" s="34">
        <v>47.416257799999997</v>
      </c>
      <c r="Q22" s="34">
        <v>-122.1706624</v>
      </c>
      <c r="R22" s="31"/>
      <c r="S22" s="35"/>
      <c r="T22" s="35"/>
    </row>
    <row r="23" spans="1:20" s="31" customFormat="1" x14ac:dyDescent="0.35">
      <c r="A23" s="34" t="s">
        <v>389</v>
      </c>
      <c r="B23" s="32">
        <v>250</v>
      </c>
      <c r="D23" s="31" t="s">
        <v>37</v>
      </c>
      <c r="E23" s="31" t="s">
        <v>101</v>
      </c>
      <c r="F23" s="31" t="s">
        <v>70</v>
      </c>
      <c r="G23" s="31">
        <v>98104</v>
      </c>
      <c r="H23" s="33" t="s">
        <v>198</v>
      </c>
      <c r="I23" s="31">
        <v>1</v>
      </c>
      <c r="J23" s="31">
        <v>8</v>
      </c>
      <c r="K23" s="31">
        <v>7</v>
      </c>
      <c r="L23" s="31">
        <v>37</v>
      </c>
      <c r="N23" s="31" t="s">
        <v>134</v>
      </c>
      <c r="P23" s="34">
        <v>47.602870000000003</v>
      </c>
      <c r="Q23" s="34">
        <v>-122.32969900000001</v>
      </c>
      <c r="R23" s="31" t="str">
        <f>Table1[[#This Row],[Abbreviated name]]&amp;" ("&amp;Table1[[#This Row],[Pitney Bowes Code]]&amp;")"</f>
        <v>Issaquah City Hall (220)</v>
      </c>
      <c r="S23" s="35">
        <v>10104</v>
      </c>
      <c r="T23" s="35">
        <v>284381</v>
      </c>
    </row>
    <row r="24" spans="1:20" s="1" customFormat="1" x14ac:dyDescent="0.35">
      <c r="A24" s="28" t="s">
        <v>409</v>
      </c>
      <c r="B24" s="2">
        <v>330</v>
      </c>
      <c r="D24" s="1" t="s">
        <v>362</v>
      </c>
      <c r="E24" s="1" t="s">
        <v>109</v>
      </c>
      <c r="F24" s="1" t="s">
        <v>44</v>
      </c>
      <c r="G24" s="1">
        <v>98092</v>
      </c>
      <c r="H24" s="12" t="s">
        <v>192</v>
      </c>
      <c r="I24" s="1">
        <v>4</v>
      </c>
      <c r="J24" s="1">
        <v>9</v>
      </c>
      <c r="K24" s="1">
        <v>8</v>
      </c>
      <c r="L24" s="1">
        <v>31</v>
      </c>
      <c r="N24" s="1" t="s">
        <v>134</v>
      </c>
      <c r="P24" s="28">
        <v>47.250943999999997</v>
      </c>
      <c r="Q24" s="28">
        <v>-122.11497199999999</v>
      </c>
      <c r="R24" s="1" t="str">
        <f>Table1[[#This Row],[Abbreviated name]]&amp;" ("&amp;Table1[[#This Row],[Pitney Bowes Code]]&amp;")"</f>
        <v>Kenmore City Hall (230)</v>
      </c>
      <c r="S24" s="25" t="s">
        <v>265</v>
      </c>
      <c r="T24" s="25" t="s">
        <v>266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4"/>
  <sheetViews>
    <sheetView workbookViewId="0">
      <selection activeCell="A6" sqref="A6:B6"/>
    </sheetView>
  </sheetViews>
  <sheetFormatPr defaultRowHeight="14.5" x14ac:dyDescent="0.35"/>
  <cols>
    <col min="1" max="1" width="13.1796875" bestFit="1" customWidth="1"/>
    <col min="2" max="2" width="13.81640625" bestFit="1" customWidth="1"/>
  </cols>
  <sheetData>
    <row r="3" spans="1:2" x14ac:dyDescent="0.35">
      <c r="A3" s="22" t="s">
        <v>320</v>
      </c>
      <c r="B3" t="s">
        <v>323</v>
      </c>
    </row>
    <row r="4" spans="1:2" x14ac:dyDescent="0.35">
      <c r="A4" s="23">
        <v>1</v>
      </c>
      <c r="B4" s="21">
        <v>8</v>
      </c>
    </row>
    <row r="5" spans="1:2" x14ac:dyDescent="0.35">
      <c r="A5" s="23">
        <v>2</v>
      </c>
      <c r="B5" s="21">
        <v>7</v>
      </c>
    </row>
    <row r="6" spans="1:2" x14ac:dyDescent="0.35">
      <c r="A6" s="23">
        <v>3</v>
      </c>
      <c r="B6" s="21">
        <v>10</v>
      </c>
    </row>
    <row r="7" spans="1:2" x14ac:dyDescent="0.35">
      <c r="A7" s="23">
        <v>4</v>
      </c>
      <c r="B7" s="21">
        <v>8</v>
      </c>
    </row>
    <row r="8" spans="1:2" x14ac:dyDescent="0.35">
      <c r="A8" s="23">
        <v>5</v>
      </c>
      <c r="B8" s="21">
        <v>9</v>
      </c>
    </row>
    <row r="9" spans="1:2" x14ac:dyDescent="0.35">
      <c r="A9" s="23">
        <v>6</v>
      </c>
      <c r="B9" s="21">
        <v>6</v>
      </c>
    </row>
    <row r="10" spans="1:2" x14ac:dyDescent="0.35">
      <c r="A10" s="23">
        <v>7</v>
      </c>
      <c r="B10" s="21">
        <v>6</v>
      </c>
    </row>
    <row r="11" spans="1:2" x14ac:dyDescent="0.35">
      <c r="A11" s="23">
        <v>8</v>
      </c>
      <c r="B11" s="21">
        <v>12</v>
      </c>
    </row>
    <row r="12" spans="1:2" x14ac:dyDescent="0.35">
      <c r="A12" s="23">
        <v>9</v>
      </c>
      <c r="B12" s="21">
        <v>8</v>
      </c>
    </row>
    <row r="13" spans="1:2" x14ac:dyDescent="0.35">
      <c r="A13" s="23" t="s">
        <v>321</v>
      </c>
      <c r="B13" s="21"/>
    </row>
    <row r="14" spans="1:2" x14ac:dyDescent="0.35">
      <c r="A14" s="23" t="s">
        <v>322</v>
      </c>
      <c r="B14" s="21">
        <v>74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8436-9DA4-444B-97FD-79DE2FBA39A9}">
  <dimension ref="A1:C80"/>
  <sheetViews>
    <sheetView view="pageLayout" topLeftCell="A10" zoomScaleNormal="100" workbookViewId="0">
      <selection activeCell="D13" sqref="D13"/>
    </sheetView>
  </sheetViews>
  <sheetFormatPr defaultRowHeight="14.5" x14ac:dyDescent="0.35"/>
  <cols>
    <col min="1" max="1" width="46.26953125" bestFit="1" customWidth="1"/>
    <col min="2" max="2" width="9.1796875" style="61"/>
    <col min="3" max="3" width="16.26953125" style="23" bestFit="1" customWidth="1"/>
    <col min="4" max="4" width="46.26953125" customWidth="1"/>
  </cols>
  <sheetData>
    <row r="1" spans="1:3" x14ac:dyDescent="0.35">
      <c r="A1" s="51" t="s">
        <v>414</v>
      </c>
      <c r="B1" s="58" t="s">
        <v>415</v>
      </c>
      <c r="C1" s="62" t="s">
        <v>418</v>
      </c>
    </row>
    <row r="2" spans="1:3" ht="27.75" customHeight="1" x14ac:dyDescent="0.35">
      <c r="A2" s="52" t="s">
        <v>177</v>
      </c>
      <c r="B2" s="59">
        <v>5</v>
      </c>
      <c r="C2" s="53"/>
    </row>
    <row r="3" spans="1:3" ht="27.75" customHeight="1" x14ac:dyDescent="0.35">
      <c r="A3" s="52" t="s">
        <v>404</v>
      </c>
      <c r="B3" s="59">
        <v>10</v>
      </c>
      <c r="C3" s="53"/>
    </row>
    <row r="4" spans="1:3" ht="27.75" customHeight="1" x14ac:dyDescent="0.35">
      <c r="A4" s="52" t="s">
        <v>188</v>
      </c>
      <c r="B4" s="59">
        <v>15</v>
      </c>
      <c r="C4" s="53"/>
    </row>
    <row r="5" spans="1:3" ht="27.75" customHeight="1" x14ac:dyDescent="0.35">
      <c r="A5" s="52" t="s">
        <v>2</v>
      </c>
      <c r="B5" s="59">
        <v>20</v>
      </c>
      <c r="C5" s="53"/>
    </row>
    <row r="6" spans="1:3" ht="27.75" customHeight="1" x14ac:dyDescent="0.35">
      <c r="A6" s="52" t="s">
        <v>158</v>
      </c>
      <c r="B6" s="59">
        <v>25</v>
      </c>
      <c r="C6" s="53"/>
    </row>
    <row r="7" spans="1:3" ht="27.75" customHeight="1" x14ac:dyDescent="0.35">
      <c r="A7" s="52" t="s">
        <v>417</v>
      </c>
      <c r="B7" s="59">
        <v>30</v>
      </c>
      <c r="C7" s="53"/>
    </row>
    <row r="8" spans="1:3" ht="27.75" customHeight="1" x14ac:dyDescent="0.35">
      <c r="A8" s="52" t="s">
        <v>416</v>
      </c>
      <c r="B8" s="59">
        <v>30</v>
      </c>
      <c r="C8" s="53"/>
    </row>
    <row r="9" spans="1:3" ht="27.75" customHeight="1" x14ac:dyDescent="0.35">
      <c r="A9" s="52" t="s">
        <v>31</v>
      </c>
      <c r="B9" s="59">
        <v>40</v>
      </c>
      <c r="C9" s="53"/>
    </row>
    <row r="10" spans="1:3" ht="27.75" customHeight="1" x14ac:dyDescent="0.35">
      <c r="A10" s="52" t="s">
        <v>319</v>
      </c>
      <c r="B10" s="59">
        <v>50</v>
      </c>
      <c r="C10" s="53"/>
    </row>
    <row r="11" spans="1:3" ht="27.75" customHeight="1" x14ac:dyDescent="0.35">
      <c r="A11" s="52" t="s">
        <v>328</v>
      </c>
      <c r="B11" s="59">
        <v>55</v>
      </c>
      <c r="C11" s="53"/>
    </row>
    <row r="12" spans="1:3" ht="27.75" customHeight="1" x14ac:dyDescent="0.35">
      <c r="A12" s="52" t="s">
        <v>393</v>
      </c>
      <c r="B12" s="59">
        <v>60</v>
      </c>
      <c r="C12" s="53"/>
    </row>
    <row r="13" spans="1:3" ht="27.75" customHeight="1" x14ac:dyDescent="0.35">
      <c r="A13" s="52" t="s">
        <v>32</v>
      </c>
      <c r="B13" s="59">
        <v>70</v>
      </c>
      <c r="C13" s="53"/>
    </row>
    <row r="14" spans="1:3" ht="27.75" customHeight="1" x14ac:dyDescent="0.35">
      <c r="A14" s="52" t="s">
        <v>33</v>
      </c>
      <c r="B14" s="59">
        <v>80</v>
      </c>
      <c r="C14" s="53"/>
    </row>
    <row r="15" spans="1:3" ht="27.75" customHeight="1" x14ac:dyDescent="0.35">
      <c r="A15" s="52" t="s">
        <v>356</v>
      </c>
      <c r="B15" s="59">
        <v>90</v>
      </c>
      <c r="C15" s="53"/>
    </row>
    <row r="16" spans="1:3" ht="27.75" customHeight="1" x14ac:dyDescent="0.35">
      <c r="A16" s="52" t="s">
        <v>334</v>
      </c>
      <c r="B16" s="59">
        <v>95</v>
      </c>
      <c r="C16" s="53"/>
    </row>
    <row r="17" spans="1:3" ht="27.75" customHeight="1" x14ac:dyDescent="0.35">
      <c r="A17" s="52" t="s">
        <v>4</v>
      </c>
      <c r="B17" s="59">
        <v>110</v>
      </c>
      <c r="C17" s="53"/>
    </row>
    <row r="18" spans="1:3" ht="27.75" customHeight="1" x14ac:dyDescent="0.35">
      <c r="A18" s="52" t="s">
        <v>357</v>
      </c>
      <c r="B18" s="59">
        <v>120</v>
      </c>
      <c r="C18" s="53"/>
    </row>
    <row r="19" spans="1:3" ht="27.75" customHeight="1" x14ac:dyDescent="0.35">
      <c r="A19" s="54" t="s">
        <v>412</v>
      </c>
      <c r="B19" s="59">
        <v>125</v>
      </c>
      <c r="C19" s="55"/>
    </row>
    <row r="20" spans="1:3" ht="27.75" customHeight="1" x14ac:dyDescent="0.35">
      <c r="A20" s="52" t="s">
        <v>5</v>
      </c>
      <c r="B20" s="59">
        <v>130</v>
      </c>
      <c r="C20" s="53"/>
    </row>
    <row r="21" spans="1:3" ht="27.75" customHeight="1" x14ac:dyDescent="0.35">
      <c r="A21" s="52" t="s">
        <v>20</v>
      </c>
      <c r="B21" s="59">
        <v>140</v>
      </c>
      <c r="C21" s="53"/>
    </row>
    <row r="22" spans="1:3" ht="27.75" customHeight="1" x14ac:dyDescent="0.35">
      <c r="A22" s="52" t="s">
        <v>6</v>
      </c>
      <c r="B22" s="59">
        <v>150</v>
      </c>
      <c r="C22" s="53"/>
    </row>
    <row r="23" spans="1:3" ht="27.75" customHeight="1" x14ac:dyDescent="0.35">
      <c r="A23" s="52" t="s">
        <v>187</v>
      </c>
      <c r="B23" s="59">
        <v>155</v>
      </c>
      <c r="C23" s="53"/>
    </row>
    <row r="24" spans="1:3" ht="27.75" customHeight="1" x14ac:dyDescent="0.35">
      <c r="A24" s="52" t="s">
        <v>7</v>
      </c>
      <c r="B24" s="59">
        <v>160</v>
      </c>
      <c r="C24" s="53"/>
    </row>
    <row r="25" spans="1:3" ht="27.75" customHeight="1" x14ac:dyDescent="0.35">
      <c r="A25" s="52" t="s">
        <v>34</v>
      </c>
      <c r="B25" s="59">
        <v>170</v>
      </c>
      <c r="C25" s="53"/>
    </row>
    <row r="26" spans="1:3" ht="27.75" customHeight="1" x14ac:dyDescent="0.35">
      <c r="A26" s="52" t="s">
        <v>35</v>
      </c>
      <c r="B26" s="59">
        <v>180</v>
      </c>
      <c r="C26" s="53"/>
    </row>
    <row r="27" spans="1:3" ht="27.75" customHeight="1" x14ac:dyDescent="0.35">
      <c r="A27" s="52" t="s">
        <v>36</v>
      </c>
      <c r="B27" s="59">
        <v>190</v>
      </c>
      <c r="C27" s="53"/>
    </row>
    <row r="28" spans="1:3" ht="27.75" customHeight="1" x14ac:dyDescent="0.35">
      <c r="A28" s="54" t="s">
        <v>372</v>
      </c>
      <c r="B28" s="59">
        <v>200</v>
      </c>
      <c r="C28" s="55"/>
    </row>
    <row r="29" spans="1:3" ht="27.75" customHeight="1" x14ac:dyDescent="0.35">
      <c r="A29" s="52" t="s">
        <v>14</v>
      </c>
      <c r="B29" s="59">
        <v>210</v>
      </c>
      <c r="C29" s="53"/>
    </row>
    <row r="30" spans="1:3" ht="27.75" customHeight="1" x14ac:dyDescent="0.35">
      <c r="A30" s="52" t="s">
        <v>8</v>
      </c>
      <c r="B30" s="59">
        <v>220</v>
      </c>
      <c r="C30" s="53"/>
    </row>
    <row r="31" spans="1:3" ht="27.75" customHeight="1" x14ac:dyDescent="0.35">
      <c r="A31" s="52" t="s">
        <v>9</v>
      </c>
      <c r="B31" s="59">
        <v>230</v>
      </c>
      <c r="C31" s="53"/>
    </row>
    <row r="32" spans="1:3" ht="27.75" customHeight="1" x14ac:dyDescent="0.35">
      <c r="A32" s="52" t="s">
        <v>359</v>
      </c>
      <c r="B32" s="59">
        <v>233</v>
      </c>
      <c r="C32" s="53"/>
    </row>
    <row r="33" spans="1:3" ht="27.75" customHeight="1" x14ac:dyDescent="0.35">
      <c r="A33" s="52" t="s">
        <v>204</v>
      </c>
      <c r="B33" s="59">
        <v>235</v>
      </c>
      <c r="C33" s="53"/>
    </row>
    <row r="34" spans="1:3" ht="27.75" customHeight="1" x14ac:dyDescent="0.35">
      <c r="A34" s="54" t="s">
        <v>21</v>
      </c>
      <c r="B34" s="59">
        <v>260</v>
      </c>
      <c r="C34" s="55"/>
    </row>
    <row r="35" spans="1:3" ht="27.75" customHeight="1" x14ac:dyDescent="0.35">
      <c r="A35" s="52" t="s">
        <v>382</v>
      </c>
      <c r="B35" s="59">
        <v>263</v>
      </c>
      <c r="C35" s="53"/>
    </row>
    <row r="36" spans="1:3" ht="27.75" customHeight="1" x14ac:dyDescent="0.35">
      <c r="A36" s="52" t="s">
        <v>11</v>
      </c>
      <c r="B36" s="59">
        <v>270</v>
      </c>
      <c r="C36" s="53"/>
    </row>
    <row r="37" spans="1:3" ht="27.75" customHeight="1" x14ac:dyDescent="0.35">
      <c r="A37" s="52" t="s">
        <v>12</v>
      </c>
      <c r="B37" s="59">
        <v>280</v>
      </c>
      <c r="C37" s="53"/>
    </row>
    <row r="38" spans="1:3" ht="27.75" customHeight="1" x14ac:dyDescent="0.35">
      <c r="A38" s="52" t="s">
        <v>38</v>
      </c>
      <c r="B38" s="59">
        <v>290</v>
      </c>
      <c r="C38" s="53"/>
    </row>
    <row r="39" spans="1:3" ht="27.75" customHeight="1" x14ac:dyDescent="0.35">
      <c r="A39" s="52" t="s">
        <v>13</v>
      </c>
      <c r="B39" s="59">
        <v>300</v>
      </c>
      <c r="C39" s="53"/>
    </row>
    <row r="40" spans="1:3" ht="27.75" customHeight="1" x14ac:dyDescent="0.35">
      <c r="A40" s="54" t="s">
        <v>39</v>
      </c>
      <c r="B40" s="59">
        <v>310</v>
      </c>
      <c r="C40" s="55"/>
    </row>
    <row r="41" spans="1:3" ht="27.75" customHeight="1" x14ac:dyDescent="0.35">
      <c r="A41" s="54" t="s">
        <v>405</v>
      </c>
      <c r="B41" s="59">
        <v>305</v>
      </c>
      <c r="C41" s="55"/>
    </row>
    <row r="42" spans="1:3" ht="27.75" customHeight="1" x14ac:dyDescent="0.35">
      <c r="A42" s="52" t="s">
        <v>16</v>
      </c>
      <c r="B42" s="59">
        <v>320</v>
      </c>
      <c r="C42" s="53"/>
    </row>
    <row r="43" spans="1:3" ht="27.75" customHeight="1" x14ac:dyDescent="0.35">
      <c r="A43" s="52" t="s">
        <v>406</v>
      </c>
      <c r="B43" s="59">
        <v>325</v>
      </c>
      <c r="C43" s="53"/>
    </row>
    <row r="44" spans="1:3" ht="27.75" customHeight="1" x14ac:dyDescent="0.35">
      <c r="A44" s="52" t="s">
        <v>409</v>
      </c>
      <c r="B44" s="59">
        <v>330</v>
      </c>
      <c r="C44" s="53"/>
    </row>
    <row r="45" spans="1:3" ht="27.75" customHeight="1" x14ac:dyDescent="0.35">
      <c r="A45" s="52" t="s">
        <v>17</v>
      </c>
      <c r="B45" s="59">
        <v>340</v>
      </c>
      <c r="C45" s="53"/>
    </row>
    <row r="46" spans="1:3" ht="27.75" customHeight="1" x14ac:dyDescent="0.35">
      <c r="A46" s="52" t="s">
        <v>74</v>
      </c>
      <c r="B46" s="59">
        <v>350</v>
      </c>
      <c r="C46" s="53"/>
    </row>
    <row r="47" spans="1:3" ht="27.75" customHeight="1" x14ac:dyDescent="0.35">
      <c r="A47" s="52" t="s">
        <v>153</v>
      </c>
      <c r="B47" s="59">
        <v>353</v>
      </c>
      <c r="C47" s="53"/>
    </row>
    <row r="48" spans="1:3" ht="27.75" customHeight="1" x14ac:dyDescent="0.35">
      <c r="A48" s="52" t="s">
        <v>147</v>
      </c>
      <c r="B48" s="59">
        <v>355</v>
      </c>
      <c r="C48" s="53"/>
    </row>
    <row r="49" spans="1:3" ht="27.75" customHeight="1" x14ac:dyDescent="0.35">
      <c r="A49" s="52" t="s">
        <v>150</v>
      </c>
      <c r="B49" s="59">
        <v>357</v>
      </c>
      <c r="C49" s="53"/>
    </row>
    <row r="50" spans="1:3" ht="27.75" customHeight="1" x14ac:dyDescent="0.35">
      <c r="A50" s="52" t="s">
        <v>358</v>
      </c>
      <c r="B50" s="59">
        <v>360</v>
      </c>
      <c r="C50" s="53"/>
    </row>
    <row r="51" spans="1:3" ht="27.75" customHeight="1" x14ac:dyDescent="0.35">
      <c r="A51" s="54" t="s">
        <v>378</v>
      </c>
      <c r="B51" s="59">
        <v>265</v>
      </c>
      <c r="C51" s="55"/>
    </row>
    <row r="52" spans="1:3" ht="27.75" customHeight="1" x14ac:dyDescent="0.35">
      <c r="A52" s="52" t="s">
        <v>75</v>
      </c>
      <c r="B52" s="59">
        <v>370</v>
      </c>
      <c r="C52" s="53"/>
    </row>
    <row r="53" spans="1:3" ht="27.75" customHeight="1" x14ac:dyDescent="0.35">
      <c r="A53" s="52" t="s">
        <v>40</v>
      </c>
      <c r="B53" s="59">
        <v>380</v>
      </c>
      <c r="C53" s="53"/>
    </row>
    <row r="54" spans="1:3" ht="27.75" customHeight="1" x14ac:dyDescent="0.35">
      <c r="A54" s="54" t="s">
        <v>19</v>
      </c>
      <c r="B54" s="59">
        <v>390</v>
      </c>
      <c r="C54" s="55"/>
    </row>
    <row r="55" spans="1:3" ht="27.75" customHeight="1" x14ac:dyDescent="0.35">
      <c r="A55" s="54" t="s">
        <v>161</v>
      </c>
      <c r="B55" s="59">
        <v>395</v>
      </c>
      <c r="C55" s="55"/>
    </row>
    <row r="56" spans="1:3" ht="27.75" customHeight="1" x14ac:dyDescent="0.35">
      <c r="A56" s="52" t="s">
        <v>144</v>
      </c>
      <c r="B56" s="59">
        <v>400</v>
      </c>
      <c r="C56" s="53"/>
    </row>
    <row r="57" spans="1:3" ht="27.75" customHeight="1" x14ac:dyDescent="0.35">
      <c r="A57" s="54" t="s">
        <v>22</v>
      </c>
      <c r="B57" s="59">
        <v>410</v>
      </c>
      <c r="C57" s="55"/>
    </row>
    <row r="58" spans="1:3" ht="27.75" customHeight="1" x14ac:dyDescent="0.35">
      <c r="A58" s="54" t="s">
        <v>407</v>
      </c>
      <c r="B58" s="59">
        <v>412</v>
      </c>
      <c r="C58" s="55"/>
    </row>
    <row r="59" spans="1:3" ht="27.75" customHeight="1" x14ac:dyDescent="0.35">
      <c r="A59" s="54" t="s">
        <v>408</v>
      </c>
      <c r="B59" s="59">
        <v>414</v>
      </c>
      <c r="C59" s="55"/>
    </row>
    <row r="60" spans="1:3" ht="27.75" customHeight="1" x14ac:dyDescent="0.35">
      <c r="A60" s="52" t="s">
        <v>23</v>
      </c>
      <c r="B60" s="59">
        <v>420</v>
      </c>
      <c r="C60" s="53"/>
    </row>
    <row r="61" spans="1:3" ht="27.75" customHeight="1" x14ac:dyDescent="0.35">
      <c r="A61" s="52" t="s">
        <v>180</v>
      </c>
      <c r="B61" s="59">
        <v>430</v>
      </c>
      <c r="C61" s="53"/>
    </row>
    <row r="62" spans="1:3" ht="27.75" customHeight="1" x14ac:dyDescent="0.35">
      <c r="A62" s="54" t="s">
        <v>171</v>
      </c>
      <c r="B62" s="59">
        <v>435</v>
      </c>
      <c r="C62" s="55"/>
    </row>
    <row r="63" spans="1:3" ht="27.75" customHeight="1" x14ac:dyDescent="0.35">
      <c r="A63" s="52" t="s">
        <v>25</v>
      </c>
      <c r="B63" s="59">
        <v>440</v>
      </c>
      <c r="C63" s="53"/>
    </row>
    <row r="64" spans="1:3" ht="27.75" customHeight="1" x14ac:dyDescent="0.35">
      <c r="A64" s="52" t="s">
        <v>160</v>
      </c>
      <c r="B64" s="59">
        <v>445</v>
      </c>
      <c r="C64" s="53"/>
    </row>
    <row r="65" spans="1:3" ht="27.75" customHeight="1" x14ac:dyDescent="0.35">
      <c r="A65" s="52" t="s">
        <v>41</v>
      </c>
      <c r="B65" s="59">
        <v>450</v>
      </c>
      <c r="C65" s="53"/>
    </row>
    <row r="66" spans="1:3" ht="27.75" customHeight="1" x14ac:dyDescent="0.35">
      <c r="A66" s="52" t="s">
        <v>26</v>
      </c>
      <c r="B66" s="59">
        <v>460</v>
      </c>
      <c r="C66" s="53"/>
    </row>
    <row r="67" spans="1:3" ht="27.75" customHeight="1" x14ac:dyDescent="0.35">
      <c r="A67" s="52" t="s">
        <v>77</v>
      </c>
      <c r="B67" s="59">
        <v>465</v>
      </c>
      <c r="C67" s="53"/>
    </row>
    <row r="68" spans="1:3" ht="27.75" customHeight="1" x14ac:dyDescent="0.35">
      <c r="A68" s="52" t="s">
        <v>42</v>
      </c>
      <c r="B68" s="59">
        <v>470</v>
      </c>
      <c r="C68" s="53"/>
    </row>
    <row r="69" spans="1:3" ht="27.75" customHeight="1" x14ac:dyDescent="0.35">
      <c r="A69" s="52" t="s">
        <v>318</v>
      </c>
      <c r="B69" s="59">
        <v>475</v>
      </c>
      <c r="C69" s="53"/>
    </row>
    <row r="70" spans="1:3" ht="27.75" customHeight="1" x14ac:dyDescent="0.35">
      <c r="A70" s="54" t="s">
        <v>15</v>
      </c>
      <c r="B70" s="59">
        <v>480</v>
      </c>
      <c r="C70" s="55"/>
    </row>
    <row r="71" spans="1:3" ht="27.75" customHeight="1" x14ac:dyDescent="0.35">
      <c r="A71" s="54" t="s">
        <v>27</v>
      </c>
      <c r="B71" s="59">
        <v>490</v>
      </c>
      <c r="C71" s="55"/>
    </row>
    <row r="72" spans="1:3" ht="27.75" customHeight="1" x14ac:dyDescent="0.35">
      <c r="A72" s="52" t="s">
        <v>410</v>
      </c>
      <c r="B72" s="59">
        <v>495</v>
      </c>
      <c r="C72" s="53"/>
    </row>
    <row r="73" spans="1:3" ht="27.75" customHeight="1" x14ac:dyDescent="0.35">
      <c r="A73" s="52" t="s">
        <v>411</v>
      </c>
      <c r="B73" s="59">
        <v>500</v>
      </c>
      <c r="C73" s="53"/>
    </row>
    <row r="74" spans="1:3" ht="27.75" customHeight="1" x14ac:dyDescent="0.35">
      <c r="A74" s="52" t="s">
        <v>374</v>
      </c>
      <c r="B74" s="59">
        <v>100</v>
      </c>
      <c r="C74" s="53"/>
    </row>
    <row r="75" spans="1:3" ht="27.75" customHeight="1" x14ac:dyDescent="0.35">
      <c r="A75" s="52" t="s">
        <v>24</v>
      </c>
      <c r="B75" s="59">
        <v>510</v>
      </c>
      <c r="C75" s="53"/>
    </row>
    <row r="76" spans="1:3" ht="27.75" customHeight="1" x14ac:dyDescent="0.35">
      <c r="A76" s="52" t="s">
        <v>28</v>
      </c>
      <c r="B76" s="59">
        <v>520</v>
      </c>
      <c r="C76" s="53"/>
    </row>
    <row r="77" spans="1:3" ht="27.75" customHeight="1" x14ac:dyDescent="0.35">
      <c r="A77" s="52" t="s">
        <v>169</v>
      </c>
      <c r="B77" s="59">
        <v>527</v>
      </c>
      <c r="C77" s="53"/>
    </row>
    <row r="78" spans="1:3" ht="27.75" customHeight="1" x14ac:dyDescent="0.35">
      <c r="A78" s="52" t="s">
        <v>43</v>
      </c>
      <c r="B78" s="59">
        <v>530</v>
      </c>
      <c r="C78" s="53"/>
    </row>
    <row r="79" spans="1:3" ht="27.75" customHeight="1" x14ac:dyDescent="0.35">
      <c r="A79" s="52" t="s">
        <v>379</v>
      </c>
      <c r="B79" s="59">
        <v>535</v>
      </c>
      <c r="C79" s="53"/>
    </row>
    <row r="80" spans="1:3" ht="27.75" customHeight="1" x14ac:dyDescent="0.35">
      <c r="A80" s="56" t="s">
        <v>29</v>
      </c>
      <c r="B80" s="60">
        <v>540</v>
      </c>
      <c r="C80" s="57"/>
    </row>
  </sheetData>
  <pageMargins left="0.7" right="0.7" top="0.75" bottom="0.75" header="0.3" footer="0.3"/>
  <pageSetup paperSize="17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Drop Boxes</vt:lpstr>
      <vt:lpstr>Inactive and Non-Dropbox</vt:lpstr>
      <vt:lpstr>County by KCCD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Case, Janice</dc:creator>
  <cp:lastModifiedBy>Denbow, Mallori</cp:lastModifiedBy>
  <cp:lastPrinted>2024-02-23T00:30:17Z</cp:lastPrinted>
  <dcterms:created xsi:type="dcterms:W3CDTF">2017-09-01T22:42:01Z</dcterms:created>
  <dcterms:modified xsi:type="dcterms:W3CDTF">2025-07-15T22:27:13Z</dcterms:modified>
</cp:coreProperties>
</file>